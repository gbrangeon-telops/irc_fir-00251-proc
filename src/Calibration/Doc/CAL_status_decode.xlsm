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7715" windowHeight="12330"/>
  </bookViews>
  <sheets>
    <sheet name="CAL" sheetId="1" r:id="rId1"/>
    <sheet name="Feuil2" sheetId="2" r:id="rId2"/>
    <sheet name="Feuil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4" i="1" l="1"/>
  <c r="C14" i="1" s="1"/>
  <c r="R4" i="1"/>
  <c r="R12" i="1"/>
  <c r="R20" i="1"/>
  <c r="R28" i="1"/>
  <c r="R14" i="1"/>
  <c r="R30" i="1"/>
  <c r="R15" i="1"/>
  <c r="R31" i="1"/>
  <c r="R16" i="1"/>
  <c r="R32" i="1"/>
  <c r="R11" i="1"/>
  <c r="R5" i="1"/>
  <c r="R13" i="1"/>
  <c r="R21" i="1"/>
  <c r="R29" i="1"/>
  <c r="R6" i="1"/>
  <c r="R22" i="1"/>
  <c r="R7" i="1"/>
  <c r="R23" i="1"/>
  <c r="R8" i="1"/>
  <c r="R24" i="1"/>
  <c r="R34" i="1"/>
  <c r="R27" i="1"/>
  <c r="R9" i="1"/>
  <c r="R17" i="1"/>
  <c r="R25" i="1"/>
  <c r="R33" i="1"/>
  <c r="R10" i="1"/>
  <c r="R18" i="1"/>
  <c r="R26" i="1"/>
  <c r="R19" i="1"/>
  <c r="R3" i="1"/>
  <c r="B12" i="1" l="1"/>
  <c r="B11" i="1"/>
  <c r="B13" i="1"/>
  <c r="O22" i="1"/>
  <c r="O32" i="1"/>
  <c r="L27" i="1"/>
  <c r="L25" i="1"/>
  <c r="O29" i="1"/>
  <c r="L24" i="1"/>
  <c r="O20" i="1"/>
  <c r="O34" i="1"/>
  <c r="L21" i="1"/>
  <c r="O24" i="1"/>
  <c r="O21" i="1"/>
  <c r="L31" i="1"/>
  <c r="O31" i="1"/>
  <c r="O27" i="1"/>
  <c r="L23" i="1"/>
  <c r="L26" i="1"/>
  <c r="L33" i="1"/>
  <c r="L28" i="1"/>
  <c r="L22" i="1"/>
  <c r="O25" i="1"/>
  <c r="O19" i="1"/>
  <c r="O23" i="1"/>
  <c r="O26" i="1"/>
  <c r="L19" i="1"/>
  <c r="L29" i="1"/>
  <c r="O30" i="1"/>
  <c r="L20" i="1"/>
  <c r="L32" i="1"/>
  <c r="O28" i="1"/>
  <c r="O33" i="1"/>
  <c r="L34" i="1"/>
  <c r="L30" i="1"/>
  <c r="I26" i="1"/>
  <c r="I27" i="1"/>
  <c r="I33" i="1"/>
  <c r="I34" i="1"/>
  <c r="I23" i="1"/>
  <c r="I21" i="1"/>
  <c r="I28" i="1"/>
  <c r="I29" i="1"/>
  <c r="I22" i="1"/>
  <c r="I25" i="1"/>
  <c r="I20" i="1"/>
  <c r="I31" i="1"/>
  <c r="I30" i="1"/>
  <c r="I24" i="1"/>
  <c r="I32" i="1"/>
  <c r="I19" i="1"/>
  <c r="C12" i="1" l="1"/>
  <c r="C13" i="1"/>
  <c r="C11" i="1"/>
  <c r="B10" i="1"/>
  <c r="O7" i="1"/>
  <c r="O9" i="1"/>
  <c r="L12" i="1"/>
  <c r="L3" i="1"/>
  <c r="O6" i="1"/>
  <c r="L18" i="1"/>
  <c r="O4" i="1"/>
  <c r="O11" i="1"/>
  <c r="O17" i="1"/>
  <c r="O12" i="1"/>
  <c r="L9" i="1"/>
  <c r="L7" i="1"/>
  <c r="L4" i="1"/>
  <c r="O5" i="1"/>
  <c r="L14" i="1"/>
  <c r="L15" i="1"/>
  <c r="O18" i="1"/>
  <c r="O13" i="1"/>
  <c r="L8" i="1"/>
  <c r="O15" i="1"/>
  <c r="L6" i="1"/>
  <c r="L17" i="1"/>
  <c r="L5" i="1"/>
  <c r="O14" i="1"/>
  <c r="O16" i="1"/>
  <c r="O8" i="1"/>
  <c r="L16" i="1"/>
  <c r="L10" i="1"/>
  <c r="O3" i="1"/>
  <c r="O10" i="1"/>
  <c r="L13" i="1"/>
  <c r="L11" i="1"/>
  <c r="I15" i="1"/>
  <c r="I8" i="1"/>
  <c r="I10" i="1"/>
  <c r="I14" i="1"/>
  <c r="I13" i="1"/>
  <c r="I4" i="1"/>
  <c r="I18" i="1"/>
  <c r="I12" i="1"/>
  <c r="I5" i="1"/>
  <c r="I11" i="1"/>
  <c r="I16" i="1"/>
  <c r="I17" i="1"/>
  <c r="I3" i="1"/>
  <c r="I7" i="1"/>
  <c r="I9" i="1"/>
  <c r="I6" i="1"/>
  <c r="F29" i="1"/>
  <c r="F32" i="1"/>
  <c r="F28" i="1"/>
  <c r="F25" i="1"/>
  <c r="F20" i="1"/>
  <c r="F21" i="1"/>
  <c r="F33" i="1"/>
  <c r="F22" i="1"/>
  <c r="F19" i="1"/>
  <c r="F23" i="1"/>
  <c r="F30" i="1"/>
  <c r="F34" i="1"/>
  <c r="F31" i="1"/>
  <c r="F27" i="1"/>
  <c r="F26" i="1"/>
  <c r="F24" i="1"/>
  <c r="C10" i="1" l="1"/>
  <c r="F11" i="1"/>
  <c r="F7" i="1"/>
  <c r="F3" i="1"/>
  <c r="F18" i="1"/>
  <c r="F9" i="1"/>
  <c r="F14" i="1"/>
  <c r="F16" i="1"/>
  <c r="F8" i="1"/>
  <c r="F4" i="1"/>
  <c r="F17" i="1"/>
  <c r="F10" i="1"/>
  <c r="F12" i="1"/>
  <c r="F13" i="1"/>
  <c r="F5" i="1"/>
  <c r="F15" i="1"/>
  <c r="F6" i="1"/>
</calcChain>
</file>

<file path=xl/sharedStrings.xml><?xml version="1.0" encoding="utf-8"?>
<sst xmlns="http://schemas.openxmlformats.org/spreadsheetml/2006/main" count="189" uniqueCount="157">
  <si>
    <t>cal.error_set[0]</t>
  </si>
  <si>
    <t>cal.error_set[3]</t>
  </si>
  <si>
    <t>cal.error_set[2]</t>
  </si>
  <si>
    <t>cal.error_set[1]</t>
  </si>
  <si>
    <t>Bit #</t>
  </si>
  <si>
    <t>Description</t>
  </si>
  <si>
    <t>16 msb (dec)</t>
  </si>
  <si>
    <t>16 lsb (dec)</t>
  </si>
  <si>
    <t>N/C</t>
  </si>
  <si>
    <t>Invalid extracted block index (SEQ)</t>
  </si>
  <si>
    <t>Invalid selected block index (SEL)</t>
  </si>
  <si>
    <t>ExposureTime not found in blocks (SEL)</t>
  </si>
  <si>
    <t>FW position not found in blocks (SEL)</t>
  </si>
  <si>
    <t>NDF position not found in blocks (SEL)</t>
  </si>
  <si>
    <t>Invalid selection mode (SEL)</t>
  </si>
  <si>
    <t>Saturation param fifo overflow (U45)</t>
  </si>
  <si>
    <t>Pixel saturation flag error (U39)</t>
  </si>
  <si>
    <t>NLC/subtract (offset) underflow (U3/U1)</t>
  </si>
  <si>
    <t>NLC/subtract (offset) overflow (U3/U1)</t>
  </si>
  <si>
    <t>NLC/subtract (offset) invalid op (U3/U1)</t>
  </si>
  <si>
    <t>NLC/subtract (offset) N/A (U3/U1)</t>
  </si>
  <si>
    <t>NLC/subtract (offset) sync error (U3/U1)</t>
  </si>
  <si>
    <t>NLC/subtract (Xi) underflow (U3/U6)</t>
  </si>
  <si>
    <t>NLC/subtract (Xi) overflow (U3/U6)</t>
  </si>
  <si>
    <t>NLC/subtract (Xi) invalid op (U3/U6)</t>
  </si>
  <si>
    <t>NLC/subtract (Xi) N/A (U3/U6)</t>
  </si>
  <si>
    <t>NLC/subtract (Xi) sync error (U3/U6)</t>
  </si>
  <si>
    <t>NLC/mult (M) underflow (U3/U8)</t>
  </si>
  <si>
    <t>NLC/mult (M) overflow (U3/U8)</t>
  </si>
  <si>
    <t>NLC/mult (M) invalid op (U3/U8)</t>
  </si>
  <si>
    <t>NLC/mult (M) N/A (U3/U8)</t>
  </si>
  <si>
    <t>NLC/mult (M) sync error (U3/U8)</t>
  </si>
  <si>
    <t>NLC/add (B) invalid op (U3/U7)</t>
  </si>
  <si>
    <t>NLC/add (B) underflow (U3/U7)</t>
  </si>
  <si>
    <t>NLC/add (B) overflow (U3/U7)</t>
  </si>
  <si>
    <t>NLC/add (B) N/A (U3/U7)</t>
  </si>
  <si>
    <t>NLC/add (B) sync error (U3/U7)</t>
  </si>
  <si>
    <t>ExposureTime mult underflow (U34)</t>
  </si>
  <si>
    <t>ExposureTime mult overflow (U34)</t>
  </si>
  <si>
    <t>ExposureTime mult invalid op (U34)</t>
  </si>
  <si>
    <t>ExposureTime mult N/A (U34)</t>
  </si>
  <si>
    <t>ExposureTime mult sync error (U34)</t>
  </si>
  <si>
    <t>FSU/add (beta0) underflow (U2/U14)</t>
  </si>
  <si>
    <t>FSU/add (beta0) overflow (U2/U14)</t>
  </si>
  <si>
    <t>FSU/add (beta0) invalid op (U2/U14)</t>
  </si>
  <si>
    <t>FSU/add (beta0) N/A (U2/U14)</t>
  </si>
  <si>
    <t>FSU/add (beta0) sync error (U2/U14)</t>
  </si>
  <si>
    <t>FSU/add (alpha_offset) underflow (U2/U18)</t>
  </si>
  <si>
    <t>FSU/add (alpha_offset) overflow (U2/U18)</t>
  </si>
  <si>
    <t>FSU/add (alpha_offset) invalid op (U2/U18)</t>
  </si>
  <si>
    <t>FSU/add (alpha_offset) N/A (U2/U18)</t>
  </si>
  <si>
    <t>FSU/add (alpha_offset) sync error (U2/U18)</t>
  </si>
  <si>
    <t>FSU/mult (kappa) underflow (U2/U4)</t>
  </si>
  <si>
    <t>FSU/mult (kappa) overflow (U2/U4)</t>
  </si>
  <si>
    <t>FSU/mult (kappa) invalid op (U2/U4)</t>
  </si>
  <si>
    <t>FSU/mult (kappa) N/A (U2/U4)</t>
  </si>
  <si>
    <t>FSU/mult (kappa) sync error (U2/U4)</t>
  </si>
  <si>
    <t>FSU/subtract (kappa+beta0) underflow (U2/U1)</t>
  </si>
  <si>
    <t>FSU/subtract (kappa+beta0) overflow (U2/U1)</t>
  </si>
  <si>
    <t>FSU/subtract (kappa+beta0) N/A (U2/U1)</t>
  </si>
  <si>
    <t>FSU/subtract (kappa+beta0) sync error (U2/U1)</t>
  </si>
  <si>
    <t>Register</t>
  </si>
  <si>
    <t>Error hex</t>
  </si>
  <si>
    <t>Error</t>
  </si>
  <si>
    <t>FSU/divide (alpha) divide by zero (U2/U3)</t>
  </si>
  <si>
    <t>FSU/divide (alpha) sync error (U2/U3)</t>
  </si>
  <si>
    <t>ExposureTime divide underflow (U9)</t>
  </si>
  <si>
    <t>ExposureTime divide overflow (U9)</t>
  </si>
  <si>
    <t>ExposureTime divide invalid op (U9)</t>
  </si>
  <si>
    <t>ExposureTime divide divide by zero (U9)</t>
  </si>
  <si>
    <t>ExposureTime divide sync error (U9)</t>
  </si>
  <si>
    <t>NLC/divide (range) underflow (U3/U3)</t>
  </si>
  <si>
    <t>NLC/divide (range) overflow (U3/U3)</t>
  </si>
  <si>
    <t>NLC/divide (range) invalid op (U3/U3)</t>
  </si>
  <si>
    <t>NLC/divide (range) divide by zero (U3/U3)</t>
  </si>
  <si>
    <t>NLC/divide (range) sync error (U3/U3)</t>
  </si>
  <si>
    <t>FSU/divide (alpha) underflow (U2/U3)</t>
  </si>
  <si>
    <t>FSU/divide (alpha) overflow (U2/U3)</t>
  </si>
  <si>
    <t>FSU/divide (alpha) invalid op (U2/U3)</t>
  </si>
  <si>
    <t>RQC/square root invalid op (U4/U2)</t>
  </si>
  <si>
    <t>RQC/subtract (Xi) underflow (U4/U6)</t>
  </si>
  <si>
    <t>RQC/subtract (Xi) overflow (U4/U6)</t>
  </si>
  <si>
    <t>RQC/subtract (Xi) invalid op (U4/U6)</t>
  </si>
  <si>
    <t>RQC/subtract (Xi) N/A (U4/U6)</t>
  </si>
  <si>
    <t>RQC/subtract (Xi) sync error (U4/U6)</t>
  </si>
  <si>
    <t>RQC/mult (M) underflow (U4/U7)</t>
  </si>
  <si>
    <t>RQC/mult (M) N/A (U4/U7)</t>
  </si>
  <si>
    <t>RQC/mult (M) sync error (U4/U7)</t>
  </si>
  <si>
    <t>RQC/mult (M) overflow (U4/U7)</t>
  </si>
  <si>
    <t>RQC/mult (M) invalid op (U4/U7)</t>
  </si>
  <si>
    <t>RQC/add (B) underflow (U4/U8)</t>
  </si>
  <si>
    <t>RQC/add (B) overflow (U4/U8)</t>
  </si>
  <si>
    <t>RQC/add (B) invalid op (U4/U8)</t>
  </si>
  <si>
    <t>RQC/add (B) N/A (U4/U8)</t>
  </si>
  <si>
    <t>RQC/add (B) sync error (U4/U8)</t>
  </si>
  <si>
    <t>FSU/subtract (kappa+beta0) invalid op (U2/U1)</t>
  </si>
  <si>
    <t>CFF/subtract (offset) underflow (U5/U6)</t>
  </si>
  <si>
    <t>CFF/subtract (offset) overflow (U5/U6)</t>
  </si>
  <si>
    <t>CFF/subtract (offset) invalid op (U5/U6)</t>
  </si>
  <si>
    <t>CFF/subtract (offset) N/A (U5/U6)</t>
  </si>
  <si>
    <t>CFF/subtract (offset) sync error (U5/U6)</t>
  </si>
  <si>
    <t>CFF/divide (LSB) underflow (U5/U9)</t>
  </si>
  <si>
    <t>CFF/divide (LSB) overflow (U5/U9)</t>
  </si>
  <si>
    <t>CFF/divide (LSB) invalid op (U5/U9)</t>
  </si>
  <si>
    <t>CFF/divide (LSB) divide by zero (U5/U9)</t>
  </si>
  <si>
    <t>CFF/divide (LSB) sync error (U5/U9)</t>
  </si>
  <si>
    <t>FCC/mult (ExposureTime) underflow (U1/U1)</t>
  </si>
  <si>
    <t>FCC/mult (ExposureTime) overflow (U1/U1)</t>
  </si>
  <si>
    <t>FCC/mult (ExposureTime) invalid op (U1/U1)</t>
  </si>
  <si>
    <t>FCC/mult (ExposureTime) N/A (U1/U1)</t>
  </si>
  <si>
    <t>FCC/mult (ExposureTime) sync error (U1/U1)</t>
  </si>
  <si>
    <t>FCC/mult (NUC factor) underflow (U1/U2)</t>
  </si>
  <si>
    <t>FCC/mult (NUC factor) overflow (U1/U2)</t>
  </si>
  <si>
    <t>FCC/mult (NUC factor) invalid op (U1/U2)</t>
  </si>
  <si>
    <t>FCC/mult (NUC factor) N/A (U1/U2)</t>
  </si>
  <si>
    <t>FCC/mult (NUC factor) sync error (U1/U2)</t>
  </si>
  <si>
    <t>Calib data u16 convert underflow (U30)</t>
  </si>
  <si>
    <t>Calib data u16 convert overflow (U30)</t>
  </si>
  <si>
    <t>Video data u16 convert underflow (U23)</t>
  </si>
  <si>
    <t>Video data u16 convert overflow (U23)</t>
  </si>
  <si>
    <t>NLC/U15/U2 lut_factor_inv_err overflow</t>
  </si>
  <si>
    <t>NLC/U15/U2 lut_factor_err overflow</t>
  </si>
  <si>
    <t>00000000</t>
  </si>
  <si>
    <t>NLC/U15/U2 lut_end_add_err overflow</t>
  </si>
  <si>
    <t>NLC/U15/U2 lut_start_add_err overflow</t>
  </si>
  <si>
    <t>NLC/U15/U2 lut_size_err overflow</t>
  </si>
  <si>
    <t>NLC/U15/U2 lut_x_range_err overflow</t>
  </si>
  <si>
    <t>NLC/U15/U2 lut_x_min_err overflow</t>
  </si>
  <si>
    <t>NLC/Pow2_offset_fifo error (U3/pow2)</t>
  </si>
  <si>
    <t>NLC/Range_offset_fifo error (U3/range_offs_fp32)</t>
  </si>
  <si>
    <t>NLC/Pow2_range_exp_fp_fifo error</t>
  </si>
  <si>
    <t>NLC/Pow2_M_exp_fp32_fifo error</t>
  </si>
  <si>
    <t xml:space="preserve">NLC/Pow2_B_exp_fp32_fifo error </t>
  </si>
  <si>
    <t>NLC/U15/U2 Param Lut overflow</t>
  </si>
  <si>
    <t>ExposureTime param fifo overflow (U16)</t>
  </si>
  <si>
    <t>FSU/Delta_temp_param_fifo (U2/U13)</t>
  </si>
  <si>
    <t>FSU/pow2_kappa_param_fifo (U2/U12)</t>
  </si>
  <si>
    <t>FSU/pow2_beta0_param_fifo (U2/U11)</t>
  </si>
  <si>
    <t>FSU/alpha_offset_param_fifo (U2/U7)</t>
  </si>
  <si>
    <t>FSU/pow2_alpha_param_fifo (U2/U6)</t>
  </si>
  <si>
    <t>RQC/lut_page_param_fifo (U4/U10)</t>
  </si>
  <si>
    <t>RQC/pow2_m_exp_param_fifo (U4/U1)</t>
  </si>
  <si>
    <t>RQC/pow2_b_exp_param_fifo (U4/U14)</t>
  </si>
  <si>
    <t>RQC/U15/U2 lut_factor_inv_err overflow</t>
  </si>
  <si>
    <t>RQC/U15/U2 lut_factor_err overflow</t>
  </si>
  <si>
    <t>RQC/U15/U2 lut_end_add_err overflow</t>
  </si>
  <si>
    <t>RQC/U15/U2 lut_start_add_err overflow</t>
  </si>
  <si>
    <t>RQC/U15/U2 lut_size_err overflow</t>
  </si>
  <si>
    <t>RQC/U15/U2 lut_x_range_err overflow</t>
  </si>
  <si>
    <t>RQC/U15/U2 lut_x_min_err overflow</t>
  </si>
  <si>
    <t>RQC/U15/U2 Param Lut overflow</t>
  </si>
  <si>
    <t>CFF/offset_fp32_param_fifo (U5/U14)</t>
  </si>
  <si>
    <t>CFF/pow2_lsb_fp32_param_fifo (U5/U1)</t>
  </si>
  <si>
    <t>FCC/exp_time_param_fifo (U1/U14)</t>
  </si>
  <si>
    <t>FCC/nuc_mult_factor_param_fifo (U1/U6)</t>
  </si>
  <si>
    <t>cal.error_set[4]</t>
  </si>
  <si>
    <t>Bad_pixel fifo ovfl (U37)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</si>
</sst>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quotePrefix="1" applyNumberFormat="1"/>
    <xf numFmtId="0" fontId="0" fillId="0" borderId="0" xfId="0" applyAlignment="1">
      <alignment horizontal="center"/>
    </xf>
    <xf numFmtId="164" fontId="0" fillId="0" borderId="0" xfId="0" quotePrefix="1" applyNumberFormat="1" applyAlignment="1">
      <alignment horizontal="right"/>
    </xf>
    <xf numFmtId="49" fontId="0" fillId="0" borderId="0" xfId="0" quotePrefix="1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36"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S34"/>
  <sheetViews>
    <sheetView tabSelected="1" zoomScale="85" zoomScaleNormal="85" workbookViewId="0">
      <selection activeCell="S17" sqref="S17"/>
    </sheetView>
  </sheetViews>
  <sheetFormatPr baseColWidth="10" defaultRowHeight="15" x14ac:dyDescent="0.25"/>
  <cols>
    <col min="1" max="1" width="1.5703125" customWidth="1"/>
    <col min="2" max="2" width="14.5703125" bestFit="1" customWidth="1"/>
    <col min="3" max="3" width="13.5703125" customWidth="1"/>
    <col min="4" max="4" width="4.85546875" customWidth="1"/>
    <col min="5" max="5" width="4.85546875" style="2" bestFit="1" customWidth="1"/>
    <col min="6" max="6" width="5.28515625" style="2" bestFit="1" customWidth="1"/>
    <col min="7" max="7" width="43.7109375" customWidth="1"/>
    <col min="8" max="8" width="4.85546875" style="2" bestFit="1" customWidth="1"/>
    <col min="9" max="9" width="5.28515625" style="2" bestFit="1" customWidth="1"/>
    <col min="10" max="10" width="43.7109375" customWidth="1"/>
    <col min="11" max="11" width="4.85546875" style="2" bestFit="1" customWidth="1"/>
    <col min="12" max="12" width="5.28515625" style="2" bestFit="1" customWidth="1"/>
    <col min="13" max="13" width="43.7109375" customWidth="1"/>
    <col min="14" max="14" width="4.85546875" style="2" bestFit="1" customWidth="1"/>
    <col min="15" max="15" width="5.28515625" style="2" bestFit="1" customWidth="1"/>
    <col min="16" max="16" width="43.7109375" customWidth="1"/>
    <col min="17" max="17" width="5.140625" bestFit="1" customWidth="1"/>
    <col min="18" max="18" width="6.42578125" customWidth="1"/>
    <col min="19" max="19" width="43.7109375" customWidth="1"/>
  </cols>
  <sheetData>
    <row r="2" spans="2:19" x14ac:dyDescent="0.25">
      <c r="B2" t="s">
        <v>61</v>
      </c>
      <c r="C2" t="s">
        <v>62</v>
      </c>
      <c r="E2" s="2" t="s">
        <v>4</v>
      </c>
      <c r="F2" s="2" t="s">
        <v>63</v>
      </c>
      <c r="G2" t="s">
        <v>5</v>
      </c>
      <c r="H2" s="2" t="s">
        <v>4</v>
      </c>
      <c r="I2" s="2" t="s">
        <v>63</v>
      </c>
      <c r="J2" t="s">
        <v>5</v>
      </c>
      <c r="K2" s="2" t="s">
        <v>4</v>
      </c>
      <c r="L2" s="2" t="s">
        <v>63</v>
      </c>
      <c r="M2" t="s">
        <v>5</v>
      </c>
      <c r="N2" s="2" t="s">
        <v>4</v>
      </c>
      <c r="O2" s="2" t="s">
        <v>63</v>
      </c>
      <c r="P2" t="s">
        <v>5</v>
      </c>
      <c r="Q2" s="2" t="s">
        <v>4</v>
      </c>
      <c r="R2" s="2" t="s">
        <v>63</v>
      </c>
      <c r="S2" t="s">
        <v>5</v>
      </c>
    </row>
    <row r="3" spans="2:19" x14ac:dyDescent="0.25">
      <c r="B3" t="s">
        <v>0</v>
      </c>
      <c r="C3" s="4" t="s">
        <v>122</v>
      </c>
      <c r="D3" s="3"/>
      <c r="E3" s="2">
        <v>0</v>
      </c>
      <c r="F3" s="2">
        <f>IF(E3&gt;=16,IF(BITWISE_AND(POWER(2,E3-16),$B$10)&gt;0,1,0),IF(BITWISE_AND(POWER(2,E3),$C$10)&gt;0,1,0))</f>
        <v>0</v>
      </c>
      <c r="G3" t="s">
        <v>15</v>
      </c>
      <c r="H3" s="2">
        <v>32</v>
      </c>
      <c r="I3" s="2">
        <f>IF(H3-32&gt;=16,IF(BITWISE_AND(POWER(2,H3-32-16),$B$11)&gt;0,1,0),IF(BITWISE_AND(POWER(2,H3-32),$C$11)&gt;0,1,0))</f>
        <v>0</v>
      </c>
      <c r="J3" t="s">
        <v>120</v>
      </c>
      <c r="K3" s="2">
        <v>64</v>
      </c>
      <c r="L3" s="2">
        <f>IF(K3-64&gt;=16,IF(BITWISE_AND(POWER(2,K3-64-16),$B$12)&gt;0,1,0),IF(BITWISE_AND(POWER(2,K3-64),$C$12)&gt;0,1,0))</f>
        <v>0</v>
      </c>
      <c r="M3" t="s">
        <v>59</v>
      </c>
      <c r="N3" s="2">
        <v>96</v>
      </c>
      <c r="O3" s="2">
        <f>IF(N3-96&gt;=16,IF(BITWISE_AND(POWER(2,N3-96-16),$B$13)&gt;0,1,0),IF(BITWISE_AND(POWER(2,N3-96),$C$13)&gt;0,1,0))</f>
        <v>0</v>
      </c>
      <c r="P3" t="s">
        <v>94</v>
      </c>
      <c r="Q3" s="2">
        <v>128</v>
      </c>
      <c r="R3" s="2">
        <f>IF(Q3-128&gt;=16,IF(BITWISE_AND(POWER(2,Q3-128-16),$B$14)&gt;0,1,0),IF(BITWISE_AND(POWER(2,Q3-128),$C$14)&gt;0,1,0))</f>
        <v>0</v>
      </c>
      <c r="S3" t="s">
        <v>114</v>
      </c>
    </row>
    <row r="4" spans="2:19" x14ac:dyDescent="0.25">
      <c r="B4" t="s">
        <v>3</v>
      </c>
      <c r="C4" s="4" t="s">
        <v>122</v>
      </c>
      <c r="D4" s="1"/>
      <c r="E4" s="2">
        <v>1</v>
      </c>
      <c r="F4" s="2">
        <f>IF(E4&gt;=16,IF(BITWISE_AND(POWER(2,E4-16),$B$10)&gt;0,1,0),IF(BITWISE_AND(POWER(2,E4),$C$10)&gt;0,1,0))</f>
        <v>0</v>
      </c>
      <c r="G4" t="s">
        <v>16</v>
      </c>
      <c r="H4" s="2">
        <v>33</v>
      </c>
      <c r="I4" s="2">
        <f>IF(H4-32&gt;=16,IF(BITWISE_AND(POWER(2,H4-32-16),$B$11)&gt;0,1,0),IF(BITWISE_AND(POWER(2,H4-32),$C$11)&gt;0,1,0))</f>
        <v>0</v>
      </c>
      <c r="J4" t="s">
        <v>121</v>
      </c>
      <c r="K4" s="2">
        <v>65</v>
      </c>
      <c r="L4" s="2">
        <f>IF(K4-64&gt;=16,IF(BITWISE_AND(POWER(2,K4-64-16),$B$12)&gt;0,1,0),IF(BITWISE_AND(POWER(2,K4-64),$C$12)&gt;0,1,0))</f>
        <v>0</v>
      </c>
      <c r="M4" t="s">
        <v>60</v>
      </c>
      <c r="N4" s="2">
        <v>97</v>
      </c>
      <c r="O4" s="2">
        <f>IF(N4-96&gt;=16,IF(BITWISE_AND(POWER(2,N4-96-16),$B$13)&gt;0,1,0),IF(BITWISE_AND(POWER(2,N4-96),$C$13)&gt;0,1,0))</f>
        <v>0</v>
      </c>
      <c r="P4" t="s">
        <v>140</v>
      </c>
      <c r="Q4" s="2">
        <v>129</v>
      </c>
      <c r="R4" s="2">
        <f>IF(Q4-128&gt;=16,IF(BITWISE_AND(POWER(2,Q4-128-16),$B$14)&gt;0,1,0),IF(BITWISE_AND(POWER(2,Q4-128),$C$14)&gt;0,1,0))</f>
        <v>0</v>
      </c>
      <c r="S4" t="s">
        <v>115</v>
      </c>
    </row>
    <row r="5" spans="2:19" x14ac:dyDescent="0.25">
      <c r="B5" t="s">
        <v>2</v>
      </c>
      <c r="C5" s="4" t="s">
        <v>122</v>
      </c>
      <c r="D5" s="1"/>
      <c r="E5" s="2">
        <v>2</v>
      </c>
      <c r="F5" s="2">
        <f>IF(E5&gt;=16,IF(BITWISE_AND(POWER(2,E5-16),$B$10)&gt;0,1,0),IF(BITWISE_AND(POWER(2,E5),$C$10)&gt;0,1,0))</f>
        <v>0</v>
      </c>
      <c r="G5" t="s">
        <v>17</v>
      </c>
      <c r="H5" s="2">
        <v>34</v>
      </c>
      <c r="I5" s="2">
        <f>IF(H5-32&gt;=16,IF(BITWISE_AND(POWER(2,H5-32-16),$B$11)&gt;0,1,0),IF(BITWISE_AND(POWER(2,H5-32),$C$11)&gt;0,1,0))</f>
        <v>0</v>
      </c>
      <c r="J5" t="s">
        <v>123</v>
      </c>
      <c r="K5" s="2">
        <v>66</v>
      </c>
      <c r="L5" s="2">
        <f>IF(K5-64&gt;=16,IF(BITWISE_AND(POWER(2,K5-64-16),$B$12)&gt;0,1,0),IF(BITWISE_AND(POWER(2,K5-64),$C$12)&gt;0,1,0))</f>
        <v>0</v>
      </c>
      <c r="M5" t="s">
        <v>47</v>
      </c>
      <c r="N5" s="2">
        <v>98</v>
      </c>
      <c r="O5" s="2">
        <f>IF(N5-96&gt;=16,IF(BITWISE_AND(POWER(2,N5-96-16),$B$13)&gt;0,1,0),IF(BITWISE_AND(POWER(2,N5-96),$C$13)&gt;0,1,0))</f>
        <v>0</v>
      </c>
      <c r="P5" t="s">
        <v>141</v>
      </c>
      <c r="Q5" s="2">
        <v>130</v>
      </c>
      <c r="R5" s="2">
        <f>IF(Q5-128&gt;=16,IF(BITWISE_AND(POWER(2,Q5-128-16),$B$14)&gt;0,1,0),IF(BITWISE_AND(POWER(2,Q5-128),$C$14)&gt;0,1,0))</f>
        <v>0</v>
      </c>
      <c r="S5" t="s">
        <v>153</v>
      </c>
    </row>
    <row r="6" spans="2:19" x14ac:dyDescent="0.25">
      <c r="B6" t="s">
        <v>1</v>
      </c>
      <c r="C6" s="4" t="s">
        <v>122</v>
      </c>
      <c r="D6" s="1"/>
      <c r="E6" s="2">
        <v>3</v>
      </c>
      <c r="F6" s="2">
        <f>IF(E6&gt;=16,IF(BITWISE_AND(POWER(2,E6-16),$B$10)&gt;0,1,0),IF(BITWISE_AND(POWER(2,E6),$C$10)&gt;0,1,0))</f>
        <v>0</v>
      </c>
      <c r="G6" t="s">
        <v>18</v>
      </c>
      <c r="H6" s="2">
        <v>35</v>
      </c>
      <c r="I6" s="2">
        <f>IF(H6-32&gt;=16,IF(BITWISE_AND(POWER(2,H6-32-16),$B$11)&gt;0,1,0),IF(BITWISE_AND(POWER(2,H6-32),$C$11)&gt;0,1,0))</f>
        <v>0</v>
      </c>
      <c r="J6" t="s">
        <v>124</v>
      </c>
      <c r="K6" s="2">
        <v>67</v>
      </c>
      <c r="L6" s="2">
        <f>IF(K6-64&gt;=16,IF(BITWISE_AND(POWER(2,K6-64-16),$B$12)&gt;0,1,0),IF(BITWISE_AND(POWER(2,K6-64),$C$12)&gt;0,1,0))</f>
        <v>0</v>
      </c>
      <c r="M6" t="s">
        <v>48</v>
      </c>
      <c r="N6" s="2">
        <v>99</v>
      </c>
      <c r="O6" s="2">
        <f>IF(N6-96&gt;=16,IF(BITWISE_AND(POWER(2,N6-96-16),$B$13)&gt;0,1,0),IF(BITWISE_AND(POWER(2,N6-96),$C$13)&gt;0,1,0))</f>
        <v>0</v>
      </c>
      <c r="P6" t="s">
        <v>142</v>
      </c>
      <c r="Q6" s="2">
        <v>131</v>
      </c>
      <c r="R6" s="2">
        <f>IF(Q6-128&gt;=16,IF(BITWISE_AND(POWER(2,Q6-128-16),$B$14)&gt;0,1,0),IF(BITWISE_AND(POWER(2,Q6-128),$C$14)&gt;0,1,0))</f>
        <v>0</v>
      </c>
      <c r="S6" t="s">
        <v>154</v>
      </c>
    </row>
    <row r="7" spans="2:19" x14ac:dyDescent="0.25">
      <c r="B7" t="s">
        <v>155</v>
      </c>
      <c r="C7" s="4" t="s">
        <v>122</v>
      </c>
      <c r="E7" s="2">
        <v>4</v>
      </c>
      <c r="F7" s="2">
        <f>IF(E7&gt;=16,IF(BITWISE_AND(POWER(2,E7-16),$B$10)&gt;0,1,0),IF(BITWISE_AND(POWER(2,E7),$C$10)&gt;0,1,0))</f>
        <v>0</v>
      </c>
      <c r="G7" t="s">
        <v>19</v>
      </c>
      <c r="H7" s="2">
        <v>36</v>
      </c>
      <c r="I7" s="2">
        <f>IF(H7-32&gt;=16,IF(BITWISE_AND(POWER(2,H7-32-16),$B$11)&gt;0,1,0),IF(BITWISE_AND(POWER(2,H7-32),$C$11)&gt;0,1,0))</f>
        <v>0</v>
      </c>
      <c r="J7" t="s">
        <v>125</v>
      </c>
      <c r="K7" s="2">
        <v>68</v>
      </c>
      <c r="L7" s="2">
        <f>IF(K7-64&gt;=16,IF(BITWISE_AND(POWER(2,K7-64-16),$B$12)&gt;0,1,0),IF(BITWISE_AND(POWER(2,K7-64),$C$12)&gt;0,1,0))</f>
        <v>0</v>
      </c>
      <c r="M7" t="s">
        <v>49</v>
      </c>
      <c r="N7" s="2">
        <v>100</v>
      </c>
      <c r="O7" s="2">
        <f>IF(N7-96&gt;=16,IF(BITWISE_AND(POWER(2,N7-96-16),$B$13)&gt;0,1,0),IF(BITWISE_AND(POWER(2,N7-96),$C$13)&gt;0,1,0))</f>
        <v>0</v>
      </c>
      <c r="P7" t="s">
        <v>143</v>
      </c>
      <c r="Q7" s="2">
        <v>132</v>
      </c>
      <c r="R7" s="2">
        <f>IF(Q7-128&gt;=16,IF(BITWISE_AND(POWER(2,Q7-128-16),$B$14)&gt;0,1,0),IF(BITWISE_AND(POWER(2,Q7-128),$C$14)&gt;0,1,0))</f>
        <v>0</v>
      </c>
      <c r="S7" t="s">
        <v>116</v>
      </c>
    </row>
    <row r="8" spans="2:19" x14ac:dyDescent="0.25">
      <c r="E8" s="2">
        <v>5</v>
      </c>
      <c r="F8" s="2">
        <f>IF(E8&gt;=16,IF(BITWISE_AND(POWER(2,E8-16),$B$10)&gt;0,1,0),IF(BITWISE_AND(POWER(2,E8),$C$10)&gt;0,1,0))</f>
        <v>0</v>
      </c>
      <c r="G8" t="s">
        <v>20</v>
      </c>
      <c r="H8" s="2">
        <v>37</v>
      </c>
      <c r="I8" s="2">
        <f>IF(H8-32&gt;=16,IF(BITWISE_AND(POWER(2,H8-32-16),$B$11)&gt;0,1,0),IF(BITWISE_AND(POWER(2,H8-32),$C$11)&gt;0,1,0))</f>
        <v>0</v>
      </c>
      <c r="J8" t="s">
        <v>126</v>
      </c>
      <c r="K8" s="2">
        <v>69</v>
      </c>
      <c r="L8" s="2">
        <f>IF(K8-64&gt;=16,IF(BITWISE_AND(POWER(2,K8-64-16),$B$12)&gt;0,1,0),IF(BITWISE_AND(POWER(2,K8-64),$C$12)&gt;0,1,0))</f>
        <v>0</v>
      </c>
      <c r="M8" t="s">
        <v>50</v>
      </c>
      <c r="N8" s="2">
        <v>101</v>
      </c>
      <c r="O8" s="2">
        <f>IF(N8-96&gt;=16,IF(BITWISE_AND(POWER(2,N8-96-16),$B$13)&gt;0,1,0),IF(BITWISE_AND(POWER(2,N8-96),$C$13)&gt;0,1,0))</f>
        <v>0</v>
      </c>
      <c r="P8" t="s">
        <v>144</v>
      </c>
      <c r="Q8" s="2">
        <v>133</v>
      </c>
      <c r="R8" s="2">
        <f>IF(Q8-128&gt;=16,IF(BITWISE_AND(POWER(2,Q8-128-16),$B$14)&gt;0,1,0),IF(BITWISE_AND(POWER(2,Q8-128),$C$14)&gt;0,1,0))</f>
        <v>0</v>
      </c>
      <c r="S8" t="s">
        <v>117</v>
      </c>
    </row>
    <row r="9" spans="2:19" x14ac:dyDescent="0.25">
      <c r="B9" t="s">
        <v>6</v>
      </c>
      <c r="C9" t="s">
        <v>7</v>
      </c>
      <c r="E9" s="2">
        <v>6</v>
      </c>
      <c r="F9" s="2">
        <f>IF(E9&gt;=16,IF(BITWISE_AND(POWER(2,E9-16),$B$10)&gt;0,1,0),IF(BITWISE_AND(POWER(2,E9),$C$10)&gt;0,1,0))</f>
        <v>0</v>
      </c>
      <c r="G9" t="s">
        <v>21</v>
      </c>
      <c r="H9" s="2">
        <v>38</v>
      </c>
      <c r="I9" s="2">
        <f>IF(H9-32&gt;=16,IF(BITWISE_AND(POWER(2,H9-32-16),$B$11)&gt;0,1,0),IF(BITWISE_AND(POWER(2,H9-32),$C$11)&gt;0,1,0))</f>
        <v>0</v>
      </c>
      <c r="J9" t="s">
        <v>127</v>
      </c>
      <c r="K9" s="2">
        <v>70</v>
      </c>
      <c r="L9" s="2">
        <f>IF(K9-64&gt;=16,IF(BITWISE_AND(POWER(2,K9-64-16),$B$12)&gt;0,1,0),IF(BITWISE_AND(POWER(2,K9-64),$C$12)&gt;0,1,0))</f>
        <v>0</v>
      </c>
      <c r="M9" t="s">
        <v>51</v>
      </c>
      <c r="N9" s="2">
        <v>102</v>
      </c>
      <c r="O9" s="2">
        <f>IF(N9-96&gt;=16,IF(BITWISE_AND(POWER(2,N9-96-16),$B$13)&gt;0,1,0),IF(BITWISE_AND(POWER(2,N9-96),$C$13)&gt;0,1,0))</f>
        <v>0</v>
      </c>
      <c r="P9" t="s">
        <v>145</v>
      </c>
      <c r="Q9" s="2">
        <v>134</v>
      </c>
      <c r="R9" s="2">
        <f>IF(Q9-128&gt;=16,IF(BITWISE_AND(POWER(2,Q9-128-16),$B$14)&gt;0,1,0),IF(BITWISE_AND(POWER(2,Q9-128),$C$14)&gt;0,1,0))</f>
        <v>0</v>
      </c>
      <c r="S9" t="s">
        <v>118</v>
      </c>
    </row>
    <row r="10" spans="2:19" x14ac:dyDescent="0.25">
      <c r="B10" s="5">
        <f>ROUNDDOWN(HEX2DEC($C$3)/POWER(2,16),0)</f>
        <v>0</v>
      </c>
      <c r="C10" s="5">
        <f xml:space="preserve"> HEX2DEC($C$3) - B10*POWER(2,16)</f>
        <v>0</v>
      </c>
      <c r="E10" s="2">
        <v>7</v>
      </c>
      <c r="F10" s="2">
        <f>IF(E10&gt;=16,IF(BITWISE_AND(POWER(2,E10-16),$B$10)&gt;0,1,0),IF(BITWISE_AND(POWER(2,E10),$C$10)&gt;0,1,0))</f>
        <v>0</v>
      </c>
      <c r="G10" t="s">
        <v>71</v>
      </c>
      <c r="H10" s="2">
        <v>39</v>
      </c>
      <c r="I10" s="2">
        <f>IF(H10-32&gt;=16,IF(BITWISE_AND(POWER(2,H10-32-16),$B$11)&gt;0,1,0),IF(BITWISE_AND(POWER(2,H10-32),$C$11)&gt;0,1,0))</f>
        <v>0</v>
      </c>
      <c r="J10" t="s">
        <v>133</v>
      </c>
      <c r="K10" s="2">
        <v>71</v>
      </c>
      <c r="L10" s="2">
        <f>IF(K10-64&gt;=16,IF(BITWISE_AND(POWER(2,K10-64-16),$B$12)&gt;0,1,0),IF(BITWISE_AND(POWER(2,K10-64),$C$12)&gt;0,1,0))</f>
        <v>0</v>
      </c>
      <c r="M10" t="s">
        <v>76</v>
      </c>
      <c r="N10" s="2">
        <v>103</v>
      </c>
      <c r="O10" s="2">
        <f>IF(N10-96&gt;=16,IF(BITWISE_AND(POWER(2,N10-96-16),$B$13)&gt;0,1,0),IF(BITWISE_AND(POWER(2,N10-96),$C$13)&gt;0,1,0))</f>
        <v>0</v>
      </c>
      <c r="P10" t="s">
        <v>146</v>
      </c>
      <c r="Q10" s="2">
        <v>135</v>
      </c>
      <c r="R10" s="2">
        <f>IF(Q10-128&gt;=16,IF(BITWISE_AND(POWER(2,Q10-128-16),$B$14)&gt;0,1,0),IF(BITWISE_AND(POWER(2,Q10-128),$C$14)&gt;0,1,0))</f>
        <v>0</v>
      </c>
      <c r="S10" t="s">
        <v>119</v>
      </c>
    </row>
    <row r="11" spans="2:19" x14ac:dyDescent="0.25">
      <c r="B11" s="5">
        <f>ROUNDDOWN(HEX2DEC($C$4)/POWER(2,16),0)</f>
        <v>0</v>
      </c>
      <c r="C11" s="5">
        <f xml:space="preserve"> HEX2DEC($C$4) - B11*POWER(2,16)</f>
        <v>0</v>
      </c>
      <c r="E11" s="2">
        <v>8</v>
      </c>
      <c r="F11" s="2">
        <f>IF(E11&gt;=16,IF(BITWISE_AND(POWER(2,E11-16),$B$10)&gt;0,1,0),IF(BITWISE_AND(POWER(2,E11),$C$10)&gt;0,1,0))</f>
        <v>0</v>
      </c>
      <c r="G11" t="s">
        <v>72</v>
      </c>
      <c r="H11" s="2">
        <v>40</v>
      </c>
      <c r="I11" s="2">
        <f>IF(H11-32&gt;=16,IF(BITWISE_AND(POWER(2,H11-32-16),$B$11)&gt;0,1,0),IF(BITWISE_AND(POWER(2,H11-32),$C$11)&gt;0,1,0))</f>
        <v>0</v>
      </c>
      <c r="J11" t="s">
        <v>134</v>
      </c>
      <c r="K11" s="2">
        <v>72</v>
      </c>
      <c r="L11" s="2">
        <f>IF(K11-64&gt;=16,IF(BITWISE_AND(POWER(2,K11-64-16),$B$12)&gt;0,1,0),IF(BITWISE_AND(POWER(2,K11-64),$C$12)&gt;0,1,0))</f>
        <v>0</v>
      </c>
      <c r="M11" t="s">
        <v>77</v>
      </c>
      <c r="N11" s="2">
        <v>104</v>
      </c>
      <c r="O11" s="2">
        <f>IF(N11-96&gt;=16,IF(BITWISE_AND(POWER(2,N11-96-16),$B$13)&gt;0,1,0),IF(BITWISE_AND(POWER(2,N11-96),$C$13)&gt;0,1,0))</f>
        <v>0</v>
      </c>
      <c r="P11" t="s">
        <v>147</v>
      </c>
      <c r="Q11" s="2">
        <v>136</v>
      </c>
      <c r="R11" s="2">
        <f>IF(Q11-128&gt;=16,IF(BITWISE_AND(POWER(2,Q11-128-16),$B$14)&gt;0,1,0),IF(BITWISE_AND(POWER(2,Q11-128),$C$14)&gt;0,1,0))</f>
        <v>0</v>
      </c>
      <c r="S11" t="s">
        <v>10</v>
      </c>
    </row>
    <row r="12" spans="2:19" x14ac:dyDescent="0.25">
      <c r="B12" s="5">
        <f>ROUNDDOWN(HEX2DEC($C$5)/POWER(2,16),0)</f>
        <v>0</v>
      </c>
      <c r="C12" s="5">
        <f xml:space="preserve"> HEX2DEC($C$5) - B12*POWER(2,16)</f>
        <v>0</v>
      </c>
      <c r="E12" s="2">
        <v>9</v>
      </c>
      <c r="F12" s="2">
        <f>IF(E12&gt;=16,IF(BITWISE_AND(POWER(2,E12-16),$B$10)&gt;0,1,0),IF(BITWISE_AND(POWER(2,E12),$C$10)&gt;0,1,0))</f>
        <v>0</v>
      </c>
      <c r="G12" t="s">
        <v>73</v>
      </c>
      <c r="H12" s="2">
        <v>41</v>
      </c>
      <c r="I12" s="2">
        <f>IF(H12-32&gt;=16,IF(BITWISE_AND(POWER(2,H12-32-16),$B$11)&gt;0,1,0),IF(BITWISE_AND(POWER(2,H12-32),$C$11)&gt;0,1,0))</f>
        <v>0</v>
      </c>
      <c r="J12" t="s">
        <v>37</v>
      </c>
      <c r="K12" s="2">
        <v>73</v>
      </c>
      <c r="L12" s="2">
        <f>IF(K12-64&gt;=16,IF(BITWISE_AND(POWER(2,K12-64-16),$B$12)&gt;0,1,0),IF(BITWISE_AND(POWER(2,K12-64),$C$12)&gt;0,1,0))</f>
        <v>0</v>
      </c>
      <c r="M12" t="s">
        <v>78</v>
      </c>
      <c r="N12" s="2">
        <v>105</v>
      </c>
      <c r="O12" s="2">
        <f>IF(N12-96&gt;=16,IF(BITWISE_AND(POWER(2,N12-96-16),$B$13)&gt;0,1,0),IF(BITWISE_AND(POWER(2,N12-96),$C$13)&gt;0,1,0))</f>
        <v>0</v>
      </c>
      <c r="P12" t="s">
        <v>148</v>
      </c>
      <c r="Q12" s="2">
        <v>137</v>
      </c>
      <c r="R12" s="2">
        <f>IF(Q12-128&gt;=16,IF(BITWISE_AND(POWER(2,Q12-128-16),$B$14)&gt;0,1,0),IF(BITWISE_AND(POWER(2,Q12-128),$C$14)&gt;0,1,0))</f>
        <v>0</v>
      </c>
      <c r="S12" t="s">
        <v>11</v>
      </c>
    </row>
    <row r="13" spans="2:19" x14ac:dyDescent="0.25">
      <c r="B13" s="5">
        <f>ROUNDDOWN(HEX2DEC($C$6)/POWER(2,16),0)</f>
        <v>0</v>
      </c>
      <c r="C13" s="5">
        <f xml:space="preserve"> HEX2DEC($C$6) - B13*POWER(2,16)</f>
        <v>0</v>
      </c>
      <c r="E13" s="2">
        <v>10</v>
      </c>
      <c r="F13" s="2">
        <f>IF(E13&gt;=16,IF(BITWISE_AND(POWER(2,E13-16),$B$10)&gt;0,1,0),IF(BITWISE_AND(POWER(2,E13),$C$10)&gt;0,1,0))</f>
        <v>0</v>
      </c>
      <c r="G13" t="s">
        <v>74</v>
      </c>
      <c r="H13" s="2">
        <v>42</v>
      </c>
      <c r="I13" s="2">
        <f>IF(H13-32&gt;=16,IF(BITWISE_AND(POWER(2,H13-32-16),$B$11)&gt;0,1,0),IF(BITWISE_AND(POWER(2,H13-32),$C$11)&gt;0,1,0))</f>
        <v>0</v>
      </c>
      <c r="J13" t="s">
        <v>38</v>
      </c>
      <c r="K13" s="2">
        <v>74</v>
      </c>
      <c r="L13" s="2">
        <f>IF(K13-64&gt;=16,IF(BITWISE_AND(POWER(2,K13-64-16),$B$12)&gt;0,1,0),IF(BITWISE_AND(POWER(2,K13-64),$C$12)&gt;0,1,0))</f>
        <v>0</v>
      </c>
      <c r="M13" t="s">
        <v>64</v>
      </c>
      <c r="N13" s="2">
        <v>106</v>
      </c>
      <c r="O13" s="2">
        <f>IF(N13-96&gt;=16,IF(BITWISE_AND(POWER(2,N13-96-16),$B$13)&gt;0,1,0),IF(BITWISE_AND(POWER(2,N13-96),$C$13)&gt;0,1,0))</f>
        <v>0</v>
      </c>
      <c r="P13" t="s">
        <v>149</v>
      </c>
      <c r="Q13" s="2">
        <v>138</v>
      </c>
      <c r="R13" s="2">
        <f>IF(Q13-128&gt;=16,IF(BITWISE_AND(POWER(2,Q13-128-16),$B$14)&gt;0,1,0),IF(BITWISE_AND(POWER(2,Q13-128),$C$14)&gt;0,1,0))</f>
        <v>0</v>
      </c>
      <c r="S13" t="s">
        <v>12</v>
      </c>
    </row>
    <row r="14" spans="2:19" x14ac:dyDescent="0.25">
      <c r="B14" s="5">
        <f>ROUNDDOWN(HEX2DEC($C$7)/POWER(2,16),0)</f>
        <v>0</v>
      </c>
      <c r="C14" s="6">
        <f xml:space="preserve"> HEX2DEC($C$7) - B14*POWER(2,16)</f>
        <v>0</v>
      </c>
      <c r="E14" s="2">
        <v>11</v>
      </c>
      <c r="F14" s="2">
        <f>IF(E14&gt;=16,IF(BITWISE_AND(POWER(2,E14-16),$B$10)&gt;0,1,0),IF(BITWISE_AND(POWER(2,E14),$C$10)&gt;0,1,0))</f>
        <v>0</v>
      </c>
      <c r="G14" t="s">
        <v>75</v>
      </c>
      <c r="H14" s="2">
        <v>43</v>
      </c>
      <c r="I14" s="2">
        <f>IF(H14-32&gt;=16,IF(BITWISE_AND(POWER(2,H14-32-16),$B$11)&gt;0,1,0),IF(BITWISE_AND(POWER(2,H14-32),$C$11)&gt;0,1,0))</f>
        <v>0</v>
      </c>
      <c r="J14" t="s">
        <v>39</v>
      </c>
      <c r="K14" s="2">
        <v>75</v>
      </c>
      <c r="L14" s="2">
        <f>IF(K14-64&gt;=16,IF(BITWISE_AND(POWER(2,K14-64-16),$B$12)&gt;0,1,0),IF(BITWISE_AND(POWER(2,K14-64),$C$12)&gt;0,1,0))</f>
        <v>0</v>
      </c>
      <c r="M14" t="s">
        <v>65</v>
      </c>
      <c r="N14" s="2">
        <v>107</v>
      </c>
      <c r="O14" s="2">
        <f>IF(N14-96&gt;=16,IF(BITWISE_AND(POWER(2,N14-96-16),$B$13)&gt;0,1,0),IF(BITWISE_AND(POWER(2,N14-96),$C$13)&gt;0,1,0))</f>
        <v>0</v>
      </c>
      <c r="P14" t="s">
        <v>150</v>
      </c>
      <c r="Q14" s="2">
        <v>139</v>
      </c>
      <c r="R14" s="2">
        <f>IF(Q14-128&gt;=16,IF(BITWISE_AND(POWER(2,Q14-128-16),$B$14)&gt;0,1,0),IF(BITWISE_AND(POWER(2,Q14-128),$C$14)&gt;0,1,0))</f>
        <v>0</v>
      </c>
      <c r="S14" t="s">
        <v>13</v>
      </c>
    </row>
    <row r="15" spans="2:19" x14ac:dyDescent="0.25">
      <c r="E15" s="2">
        <v>12</v>
      </c>
      <c r="F15" s="2">
        <f>IF(E15&gt;=16,IF(BITWISE_AND(POWER(2,E15-16),$B$10)&gt;0,1,0),IF(BITWISE_AND(POWER(2,E15),$C$10)&gt;0,1,0))</f>
        <v>0</v>
      </c>
      <c r="G15" t="s">
        <v>22</v>
      </c>
      <c r="H15" s="2">
        <v>44</v>
      </c>
      <c r="I15" s="2">
        <f>IF(H15-32&gt;=16,IF(BITWISE_AND(POWER(2,H15-32-16),$B$11)&gt;0,1,0),IF(BITWISE_AND(POWER(2,H15-32),$C$11)&gt;0,1,0))</f>
        <v>0</v>
      </c>
      <c r="J15" t="s">
        <v>40</v>
      </c>
      <c r="K15" s="2">
        <v>76</v>
      </c>
      <c r="L15" s="2">
        <f>IF(K15-64&gt;=16,IF(BITWISE_AND(POWER(2,K15-64-16),$B$12)&gt;0,1,0),IF(BITWISE_AND(POWER(2,K15-64),$C$12)&gt;0,1,0))</f>
        <v>0</v>
      </c>
      <c r="M15" t="s">
        <v>135</v>
      </c>
      <c r="N15" s="2">
        <v>108</v>
      </c>
      <c r="O15" s="2">
        <f>IF(N15-96&gt;=16,IF(BITWISE_AND(POWER(2,N15-96-16),$B$13)&gt;0,1,0),IF(BITWISE_AND(POWER(2,N15-96),$C$13)&gt;0,1,0))</f>
        <v>0</v>
      </c>
      <c r="P15" t="s">
        <v>96</v>
      </c>
      <c r="Q15" s="2">
        <v>140</v>
      </c>
      <c r="R15" s="2">
        <f>IF(Q15-128&gt;=16,IF(BITWISE_AND(POWER(2,Q15-128-16),$B$14)&gt;0,1,0),IF(BITWISE_AND(POWER(2,Q15-128),$C$14)&gt;0,1,0))</f>
        <v>0</v>
      </c>
      <c r="S15" t="s">
        <v>14</v>
      </c>
    </row>
    <row r="16" spans="2:19" x14ac:dyDescent="0.25">
      <c r="E16" s="2">
        <v>13</v>
      </c>
      <c r="F16" s="2">
        <f>IF(E16&gt;=16,IF(BITWISE_AND(POWER(2,E16-16),$B$10)&gt;0,1,0),IF(BITWISE_AND(POWER(2,E16),$C$10)&gt;0,1,0))</f>
        <v>0</v>
      </c>
      <c r="G16" t="s">
        <v>23</v>
      </c>
      <c r="H16" s="2">
        <v>45</v>
      </c>
      <c r="I16" s="2">
        <f>IF(H16-32&gt;=16,IF(BITWISE_AND(POWER(2,H16-32-16),$B$11)&gt;0,1,0),IF(BITWISE_AND(POWER(2,H16-32),$C$11)&gt;0,1,0))</f>
        <v>0</v>
      </c>
      <c r="J16" t="s">
        <v>41</v>
      </c>
      <c r="K16" s="2">
        <v>77</v>
      </c>
      <c r="L16" s="2">
        <f>IF(K16-64&gt;=16,IF(BITWISE_AND(POWER(2,K16-64-16),$B$12)&gt;0,1,0),IF(BITWISE_AND(POWER(2,K16-64),$C$12)&gt;0,1,0))</f>
        <v>0</v>
      </c>
      <c r="M16" t="s">
        <v>136</v>
      </c>
      <c r="N16" s="2">
        <v>109</v>
      </c>
      <c r="O16" s="2">
        <f>IF(N16-96&gt;=16,IF(BITWISE_AND(POWER(2,N16-96-16),$B$13)&gt;0,1,0),IF(BITWISE_AND(POWER(2,N16-96),$C$13)&gt;0,1,0))</f>
        <v>0</v>
      </c>
      <c r="P16" t="s">
        <v>97</v>
      </c>
      <c r="Q16" s="2">
        <v>141</v>
      </c>
      <c r="R16" s="2">
        <f>IF(Q16-128&gt;=16,IF(BITWISE_AND(POWER(2,Q16-128-16),$B$14)&gt;0,1,0),IF(BITWISE_AND(POWER(2,Q16-128),$C$14)&gt;0,1,0))</f>
        <v>0</v>
      </c>
      <c r="S16" t="s">
        <v>9</v>
      </c>
    </row>
    <row r="17" spans="5:19" x14ac:dyDescent="0.25">
      <c r="E17" s="2">
        <v>14</v>
      </c>
      <c r="F17" s="2">
        <f>IF(E17&gt;=16,IF(BITWISE_AND(POWER(2,E17-16),$B$10)&gt;0,1,0),IF(BITWISE_AND(POWER(2,E17),$C$10)&gt;0,1,0))</f>
        <v>0</v>
      </c>
      <c r="G17" t="s">
        <v>24</v>
      </c>
      <c r="H17" s="2">
        <v>46</v>
      </c>
      <c r="I17" s="2">
        <f>IF(H17-32&gt;=16,IF(BITWISE_AND(POWER(2,H17-32-16),$B$11)&gt;0,1,0),IF(BITWISE_AND(POWER(2,H17-32),$C$11)&gt;0,1,0))</f>
        <v>0</v>
      </c>
      <c r="J17" t="s">
        <v>66</v>
      </c>
      <c r="K17" s="2">
        <v>78</v>
      </c>
      <c r="L17" s="2">
        <f>IF(K17-64&gt;=16,IF(BITWISE_AND(POWER(2,K17-64-16),$B$12)&gt;0,1,0),IF(BITWISE_AND(POWER(2,K17-64),$C$12)&gt;0,1,0))</f>
        <v>0</v>
      </c>
      <c r="M17" t="s">
        <v>137</v>
      </c>
      <c r="N17" s="2">
        <v>110</v>
      </c>
      <c r="O17" s="2">
        <f>IF(N17-96&gt;=16,IF(BITWISE_AND(POWER(2,N17-96-16),$B$13)&gt;0,1,0),IF(BITWISE_AND(POWER(2,N17-96),$C$13)&gt;0,1,0))</f>
        <v>0</v>
      </c>
      <c r="P17" t="s">
        <v>98</v>
      </c>
      <c r="Q17" s="2">
        <v>142</v>
      </c>
      <c r="R17" s="2">
        <f>IF(Q17-128&gt;=16,IF(BITWISE_AND(POWER(2,Q17-128-16),$B$14)&gt;0,1,0),IF(BITWISE_AND(POWER(2,Q17-128),$C$14)&gt;0,1,0))</f>
        <v>0</v>
      </c>
      <c r="S17" t="s">
        <v>156</v>
      </c>
    </row>
    <row r="18" spans="5:19" x14ac:dyDescent="0.25">
      <c r="E18" s="2">
        <v>15</v>
      </c>
      <c r="F18" s="2">
        <f>IF(E18&gt;=16,IF(BITWISE_AND(POWER(2,E18-16),$B$10)&gt;0,1,0),IF(BITWISE_AND(POWER(2,E18),$C$10)&gt;0,1,0))</f>
        <v>0</v>
      </c>
      <c r="G18" t="s">
        <v>25</v>
      </c>
      <c r="H18" s="2">
        <v>47</v>
      </c>
      <c r="I18" s="2">
        <f>IF(H18-32&gt;=16,IF(BITWISE_AND(POWER(2,H18-32-16),$B$11)&gt;0,1,0),IF(BITWISE_AND(POWER(2,H18-32),$C$11)&gt;0,1,0))</f>
        <v>0</v>
      </c>
      <c r="J18" t="s">
        <v>67</v>
      </c>
      <c r="K18" s="2">
        <v>79</v>
      </c>
      <c r="L18" s="2">
        <f>IF(K18-64&gt;=16,IF(BITWISE_AND(POWER(2,K18-64-16),$B$12)&gt;0,1,0),IF(BITWISE_AND(POWER(2,K18-64),$C$12)&gt;0,1,0))</f>
        <v>0</v>
      </c>
      <c r="M18" t="s">
        <v>138</v>
      </c>
      <c r="N18" s="2">
        <v>111</v>
      </c>
      <c r="O18" s="2">
        <f>IF(N18-96&gt;=16,IF(BITWISE_AND(POWER(2,N18-96-16),$B$13)&gt;0,1,0),IF(BITWISE_AND(POWER(2,N18-96),$C$13)&gt;0,1,0))</f>
        <v>0</v>
      </c>
      <c r="P18" t="s">
        <v>99</v>
      </c>
      <c r="Q18" s="2">
        <v>143</v>
      </c>
      <c r="R18" s="2">
        <f>IF(Q18-128&gt;=16,IF(BITWISE_AND(POWER(2,Q18-128-16),$B$14)&gt;0,1,0),IF(BITWISE_AND(POWER(2,Q18-128),$C$14)&gt;0,1,0))</f>
        <v>0</v>
      </c>
      <c r="S18" t="s">
        <v>8</v>
      </c>
    </row>
    <row r="19" spans="5:19" x14ac:dyDescent="0.25">
      <c r="E19" s="2">
        <v>16</v>
      </c>
      <c r="F19" s="2">
        <f>IF(E19&gt;=16,IF(BITWISE_AND(POWER(2,E19-16),$B$10)&gt;0,1,0),IF(BITWISE_AND(POWER(2,E19),$C$10)&gt;0,1,0))</f>
        <v>0</v>
      </c>
      <c r="G19" t="s">
        <v>26</v>
      </c>
      <c r="H19" s="2">
        <v>48</v>
      </c>
      <c r="I19" s="2">
        <f>IF(H19-32&gt;=16,IF(BITWISE_AND(POWER(2,H19-32-16),$B$11)&gt;0,1,0),IF(BITWISE_AND(POWER(2,H19-32),$C$11)&gt;0,1,0))</f>
        <v>0</v>
      </c>
      <c r="J19" t="s">
        <v>68</v>
      </c>
      <c r="K19" s="2">
        <v>80</v>
      </c>
      <c r="L19" s="2">
        <f>IF(K19-64&gt;=16,IF(BITWISE_AND(POWER(2,K19-64-16),$B$12)&gt;0,1,0),IF(BITWISE_AND(POWER(2,K19-64),$C$12)&gt;0,1,0))</f>
        <v>0</v>
      </c>
      <c r="M19" t="s">
        <v>139</v>
      </c>
      <c r="N19" s="2">
        <v>112</v>
      </c>
      <c r="O19" s="2">
        <f>IF(N19-96&gt;=16,IF(BITWISE_AND(POWER(2,N19-96-16),$B$13)&gt;0,1,0),IF(BITWISE_AND(POWER(2,N19-96),$C$13)&gt;0,1,0))</f>
        <v>0</v>
      </c>
      <c r="P19" t="s">
        <v>100</v>
      </c>
      <c r="Q19" s="2">
        <v>144</v>
      </c>
      <c r="R19" s="2">
        <f>IF(Q19-128&gt;=16,IF(BITWISE_AND(POWER(2,Q19-128-16),$B$14)&gt;0,1,0),IF(BITWISE_AND(POWER(2,Q19-128),$C$14)&gt;0,1,0))</f>
        <v>0</v>
      </c>
      <c r="S19" t="s">
        <v>8</v>
      </c>
    </row>
    <row r="20" spans="5:19" x14ac:dyDescent="0.25">
      <c r="E20" s="2">
        <v>17</v>
      </c>
      <c r="F20" s="2">
        <f>IF(E20&gt;=16,IF(BITWISE_AND(POWER(2,E20-16),$B$10)&gt;0,1,0),IF(BITWISE_AND(POWER(2,E20),$C$10)&gt;0,1,0))</f>
        <v>0</v>
      </c>
      <c r="G20" t="s">
        <v>27</v>
      </c>
      <c r="H20" s="2">
        <v>49</v>
      </c>
      <c r="I20" s="2">
        <f>IF(H20-32&gt;=16,IF(BITWISE_AND(POWER(2,H20-32-16),$B$11)&gt;0,1,0),IF(BITWISE_AND(POWER(2,H20-32),$C$11)&gt;0,1,0))</f>
        <v>0</v>
      </c>
      <c r="J20" t="s">
        <v>69</v>
      </c>
      <c r="K20" s="2">
        <v>81</v>
      </c>
      <c r="L20" s="2">
        <f>IF(K20-64&gt;=16,IF(BITWISE_AND(POWER(2,K20-64-16),$B$12)&gt;0,1,0),IF(BITWISE_AND(POWER(2,K20-64),$C$12)&gt;0,1,0))</f>
        <v>0</v>
      </c>
      <c r="M20" t="s">
        <v>79</v>
      </c>
      <c r="N20" s="2">
        <v>113</v>
      </c>
      <c r="O20" s="2">
        <f>IF(N20-96&gt;=16,IF(BITWISE_AND(POWER(2,N20-96-16),$B$13)&gt;0,1,0),IF(BITWISE_AND(POWER(2,N20-96),$C$13)&gt;0,1,0))</f>
        <v>0</v>
      </c>
      <c r="P20" t="s">
        <v>101</v>
      </c>
      <c r="Q20" s="2">
        <v>145</v>
      </c>
      <c r="R20" s="2">
        <f>IF(Q20-128&gt;=16,IF(BITWISE_AND(POWER(2,Q20-128-16),$B$14)&gt;0,1,0),IF(BITWISE_AND(POWER(2,Q20-128),$C$14)&gt;0,1,0))</f>
        <v>0</v>
      </c>
      <c r="S20" t="s">
        <v>8</v>
      </c>
    </row>
    <row r="21" spans="5:19" x14ac:dyDescent="0.25">
      <c r="E21" s="2">
        <v>18</v>
      </c>
      <c r="F21" s="2">
        <f>IF(E21&gt;=16,IF(BITWISE_AND(POWER(2,E21-16),$B$10)&gt;0,1,0),IF(BITWISE_AND(POWER(2,E21),$C$10)&gt;0,1,0))</f>
        <v>0</v>
      </c>
      <c r="G21" t="s">
        <v>28</v>
      </c>
      <c r="H21" s="2">
        <v>50</v>
      </c>
      <c r="I21" s="2">
        <f>IF(H21-32&gt;=16,IF(BITWISE_AND(POWER(2,H21-32-16),$B$11)&gt;0,1,0),IF(BITWISE_AND(POWER(2,H21-32),$C$11)&gt;0,1,0))</f>
        <v>0</v>
      </c>
      <c r="J21" t="s">
        <v>70</v>
      </c>
      <c r="K21" s="2">
        <v>82</v>
      </c>
      <c r="L21" s="2">
        <f>IF(K21-64&gt;=16,IF(BITWISE_AND(POWER(2,K21-64-16),$B$12)&gt;0,1,0),IF(BITWISE_AND(POWER(2,K21-64),$C$12)&gt;0,1,0))</f>
        <v>0</v>
      </c>
      <c r="M21" t="s">
        <v>80</v>
      </c>
      <c r="N21" s="2">
        <v>114</v>
      </c>
      <c r="O21" s="2">
        <f>IF(N21-96&gt;=16,IF(BITWISE_AND(POWER(2,N21-96-16),$B$13)&gt;0,1,0),IF(BITWISE_AND(POWER(2,N21-96),$C$13)&gt;0,1,0))</f>
        <v>0</v>
      </c>
      <c r="P21" t="s">
        <v>102</v>
      </c>
      <c r="Q21" s="2">
        <v>146</v>
      </c>
      <c r="R21" s="2">
        <f>IF(Q21-128&gt;=16,IF(BITWISE_AND(POWER(2,Q21-128-16),$B$14)&gt;0,1,0),IF(BITWISE_AND(POWER(2,Q21-128),$C$14)&gt;0,1,0))</f>
        <v>0</v>
      </c>
      <c r="S21" t="s">
        <v>8</v>
      </c>
    </row>
    <row r="22" spans="5:19" x14ac:dyDescent="0.25">
      <c r="E22" s="2">
        <v>19</v>
      </c>
      <c r="F22" s="2">
        <f>IF(E22&gt;=16,IF(BITWISE_AND(POWER(2,E22-16),$B$10)&gt;0,1,0),IF(BITWISE_AND(POWER(2,E22),$C$10)&gt;0,1,0))</f>
        <v>0</v>
      </c>
      <c r="G22" t="s">
        <v>29</v>
      </c>
      <c r="H22" s="2">
        <v>51</v>
      </c>
      <c r="I22" s="2">
        <f>IF(H22-32&gt;=16,IF(BITWISE_AND(POWER(2,H22-32-16),$B$11)&gt;0,1,0),IF(BITWISE_AND(POWER(2,H22-32),$C$11)&gt;0,1,0))</f>
        <v>0</v>
      </c>
      <c r="J22" t="s">
        <v>52</v>
      </c>
      <c r="K22" s="2">
        <v>83</v>
      </c>
      <c r="L22" s="2">
        <f>IF(K22-64&gt;=16,IF(BITWISE_AND(POWER(2,K22-64-16),$B$12)&gt;0,1,0),IF(BITWISE_AND(POWER(2,K22-64),$C$12)&gt;0,1,0))</f>
        <v>0</v>
      </c>
      <c r="M22" t="s">
        <v>81</v>
      </c>
      <c r="N22" s="2">
        <v>115</v>
      </c>
      <c r="O22" s="2">
        <f>IF(N22-96&gt;=16,IF(BITWISE_AND(POWER(2,N22-96-16),$B$13)&gt;0,1,0),IF(BITWISE_AND(POWER(2,N22-96),$C$13)&gt;0,1,0))</f>
        <v>0</v>
      </c>
      <c r="P22" t="s">
        <v>103</v>
      </c>
      <c r="Q22" s="2">
        <v>147</v>
      </c>
      <c r="R22" s="2">
        <f>IF(Q22-128&gt;=16,IF(BITWISE_AND(POWER(2,Q22-128-16),$B$14)&gt;0,1,0),IF(BITWISE_AND(POWER(2,Q22-128),$C$14)&gt;0,1,0))</f>
        <v>0</v>
      </c>
      <c r="S22" t="s">
        <v>8</v>
      </c>
    </row>
    <row r="23" spans="5:19" x14ac:dyDescent="0.25">
      <c r="E23" s="2">
        <v>20</v>
      </c>
      <c r="F23" s="2">
        <f>IF(E23&gt;=16,IF(BITWISE_AND(POWER(2,E23-16),$B$10)&gt;0,1,0),IF(BITWISE_AND(POWER(2,E23),$C$10)&gt;0,1,0))</f>
        <v>0</v>
      </c>
      <c r="G23" t="s">
        <v>30</v>
      </c>
      <c r="H23" s="2">
        <v>52</v>
      </c>
      <c r="I23" s="2">
        <f>IF(H23-32&gt;=16,IF(BITWISE_AND(POWER(2,H23-32-16),$B$11)&gt;0,1,0),IF(BITWISE_AND(POWER(2,H23-32),$C$11)&gt;0,1,0))</f>
        <v>0</v>
      </c>
      <c r="J23" t="s">
        <v>53</v>
      </c>
      <c r="K23" s="2">
        <v>84</v>
      </c>
      <c r="L23" s="2">
        <f>IF(K23-64&gt;=16,IF(BITWISE_AND(POWER(2,K23-64-16),$B$12)&gt;0,1,0),IF(BITWISE_AND(POWER(2,K23-64),$C$12)&gt;0,1,0))</f>
        <v>0</v>
      </c>
      <c r="M23" t="s">
        <v>82</v>
      </c>
      <c r="N23" s="2">
        <v>116</v>
      </c>
      <c r="O23" s="2">
        <f>IF(N23-96&gt;=16,IF(BITWISE_AND(POWER(2,N23-96-16),$B$13)&gt;0,1,0),IF(BITWISE_AND(POWER(2,N23-96),$C$13)&gt;0,1,0))</f>
        <v>0</v>
      </c>
      <c r="P23" t="s">
        <v>104</v>
      </c>
      <c r="Q23" s="2">
        <v>148</v>
      </c>
      <c r="R23" s="2">
        <f>IF(Q23-128&gt;=16,IF(BITWISE_AND(POWER(2,Q23-128-16),$B$14)&gt;0,1,0),IF(BITWISE_AND(POWER(2,Q23-128),$C$14)&gt;0,1,0))</f>
        <v>0</v>
      </c>
      <c r="S23" t="s">
        <v>8</v>
      </c>
    </row>
    <row r="24" spans="5:19" x14ac:dyDescent="0.25">
      <c r="E24" s="2">
        <v>21</v>
      </c>
      <c r="F24" s="2">
        <f>IF(E24&gt;=16,IF(BITWISE_AND(POWER(2,E24-16),$B$10)&gt;0,1,0),IF(BITWISE_AND(POWER(2,E24),$C$10)&gt;0,1,0))</f>
        <v>0</v>
      </c>
      <c r="G24" t="s">
        <v>31</v>
      </c>
      <c r="H24" s="2">
        <v>53</v>
      </c>
      <c r="I24" s="2">
        <f>IF(H24-32&gt;=16,IF(BITWISE_AND(POWER(2,H24-32-16),$B$11)&gt;0,1,0),IF(BITWISE_AND(POWER(2,H24-32),$C$11)&gt;0,1,0))</f>
        <v>0</v>
      </c>
      <c r="J24" t="s">
        <v>54</v>
      </c>
      <c r="K24" s="2">
        <v>85</v>
      </c>
      <c r="L24" s="2">
        <f>IF(K24-64&gt;=16,IF(BITWISE_AND(POWER(2,K24-64-16),$B$12)&gt;0,1,0),IF(BITWISE_AND(POWER(2,K24-64),$C$12)&gt;0,1,0))</f>
        <v>0</v>
      </c>
      <c r="M24" t="s">
        <v>83</v>
      </c>
      <c r="N24" s="2">
        <v>117</v>
      </c>
      <c r="O24" s="2">
        <f>IF(N24-96&gt;=16,IF(BITWISE_AND(POWER(2,N24-96-16),$B$13)&gt;0,1,0),IF(BITWISE_AND(POWER(2,N24-96),$C$13)&gt;0,1,0))</f>
        <v>0</v>
      </c>
      <c r="P24" t="s">
        <v>105</v>
      </c>
      <c r="Q24" s="2">
        <v>149</v>
      </c>
      <c r="R24" s="2">
        <f>IF(Q24-128&gt;=16,IF(BITWISE_AND(POWER(2,Q24-128-16),$B$14)&gt;0,1,0),IF(BITWISE_AND(POWER(2,Q24-128),$C$14)&gt;0,1,0))</f>
        <v>0</v>
      </c>
      <c r="S24" t="s">
        <v>8</v>
      </c>
    </row>
    <row r="25" spans="5:19" x14ac:dyDescent="0.25">
      <c r="E25" s="2">
        <v>22</v>
      </c>
      <c r="F25" s="2">
        <f>IF(E25&gt;=16,IF(BITWISE_AND(POWER(2,E25-16),$B$10)&gt;0,1,0),IF(BITWISE_AND(POWER(2,E25),$C$10)&gt;0,1,0))</f>
        <v>0</v>
      </c>
      <c r="G25" t="s">
        <v>33</v>
      </c>
      <c r="H25" s="2">
        <v>54</v>
      </c>
      <c r="I25" s="2">
        <f>IF(H25-32&gt;=16,IF(BITWISE_AND(POWER(2,H25-32-16),$B$11)&gt;0,1,0),IF(BITWISE_AND(POWER(2,H25-32),$C$11)&gt;0,1,0))</f>
        <v>0</v>
      </c>
      <c r="J25" t="s">
        <v>55</v>
      </c>
      <c r="K25" s="2">
        <v>86</v>
      </c>
      <c r="L25" s="2">
        <f>IF(K25-64&gt;=16,IF(BITWISE_AND(POWER(2,K25-64-16),$B$12)&gt;0,1,0),IF(BITWISE_AND(POWER(2,K25-64),$C$12)&gt;0,1,0))</f>
        <v>0</v>
      </c>
      <c r="M25" t="s">
        <v>84</v>
      </c>
      <c r="N25" s="2">
        <v>118</v>
      </c>
      <c r="O25" s="2">
        <f>IF(N25-96&gt;=16,IF(BITWISE_AND(POWER(2,N25-96-16),$B$13)&gt;0,1,0),IF(BITWISE_AND(POWER(2,N25-96),$C$13)&gt;0,1,0))</f>
        <v>0</v>
      </c>
      <c r="P25" t="s">
        <v>151</v>
      </c>
      <c r="Q25" s="2">
        <v>150</v>
      </c>
      <c r="R25" s="2">
        <f>IF(Q25-128&gt;=16,IF(BITWISE_AND(POWER(2,Q25-128-16),$B$14)&gt;0,1,0),IF(BITWISE_AND(POWER(2,Q25-128),$C$14)&gt;0,1,0))</f>
        <v>0</v>
      </c>
      <c r="S25" t="s">
        <v>8</v>
      </c>
    </row>
    <row r="26" spans="5:19" x14ac:dyDescent="0.25">
      <c r="E26" s="2">
        <v>23</v>
      </c>
      <c r="F26" s="2">
        <f>IF(E26&gt;=16,IF(BITWISE_AND(POWER(2,E26-16),$B$10)&gt;0,1,0),IF(BITWISE_AND(POWER(2,E26),$C$10)&gt;0,1,0))</f>
        <v>0</v>
      </c>
      <c r="G26" t="s">
        <v>34</v>
      </c>
      <c r="H26" s="2">
        <v>55</v>
      </c>
      <c r="I26" s="2">
        <f>IF(H26-32&gt;=16,IF(BITWISE_AND(POWER(2,H26-32-16),$B$11)&gt;0,1,0),IF(BITWISE_AND(POWER(2,H26-32),$C$11)&gt;0,1,0))</f>
        <v>0</v>
      </c>
      <c r="J26" t="s">
        <v>56</v>
      </c>
      <c r="K26" s="2">
        <v>87</v>
      </c>
      <c r="L26" s="2">
        <f>IF(K26-64&gt;=16,IF(BITWISE_AND(POWER(2,K26-64-16),$B$12)&gt;0,1,0),IF(BITWISE_AND(POWER(2,K26-64),$C$12)&gt;0,1,0))</f>
        <v>0</v>
      </c>
      <c r="M26" t="s">
        <v>85</v>
      </c>
      <c r="N26" s="2">
        <v>119</v>
      </c>
      <c r="O26" s="2">
        <f>IF(N26-96&gt;=16,IF(BITWISE_AND(POWER(2,N26-96-16),$B$13)&gt;0,1,0),IF(BITWISE_AND(POWER(2,N26-96),$C$13)&gt;0,1,0))</f>
        <v>0</v>
      </c>
      <c r="P26" t="s">
        <v>152</v>
      </c>
      <c r="Q26" s="2">
        <v>151</v>
      </c>
      <c r="R26" s="2">
        <f>IF(Q26-128&gt;=16,IF(BITWISE_AND(POWER(2,Q26-128-16),$B$14)&gt;0,1,0),IF(BITWISE_AND(POWER(2,Q26-128),$C$14)&gt;0,1,0))</f>
        <v>0</v>
      </c>
      <c r="S26" t="s">
        <v>8</v>
      </c>
    </row>
    <row r="27" spans="5:19" x14ac:dyDescent="0.25">
      <c r="E27" s="2">
        <v>24</v>
      </c>
      <c r="F27" s="2">
        <f>IF(E27&gt;=16,IF(BITWISE_AND(POWER(2,E27-16),$B$10)&gt;0,1,0),IF(BITWISE_AND(POWER(2,E27),$C$10)&gt;0,1,0))</f>
        <v>0</v>
      </c>
      <c r="G27" t="s">
        <v>32</v>
      </c>
      <c r="H27" s="2">
        <v>56</v>
      </c>
      <c r="I27" s="2">
        <f>IF(H27-32&gt;=16,IF(BITWISE_AND(POWER(2,H27-32-16),$B$11)&gt;0,1,0),IF(BITWISE_AND(POWER(2,H27-32),$C$11)&gt;0,1,0))</f>
        <v>0</v>
      </c>
      <c r="J27" t="s">
        <v>42</v>
      </c>
      <c r="K27" s="2">
        <v>88</v>
      </c>
      <c r="L27" s="2">
        <f>IF(K27-64&gt;=16,IF(BITWISE_AND(POWER(2,K27-64-16),$B$12)&gt;0,1,0),IF(BITWISE_AND(POWER(2,K27-64),$C$12)&gt;0,1,0))</f>
        <v>0</v>
      </c>
      <c r="M27" t="s">
        <v>88</v>
      </c>
      <c r="N27" s="2">
        <v>120</v>
      </c>
      <c r="O27" s="2">
        <f>IF(N27-96&gt;=16,IF(BITWISE_AND(POWER(2,N27-96-16),$B$13)&gt;0,1,0),IF(BITWISE_AND(POWER(2,N27-96),$C$13)&gt;0,1,0))</f>
        <v>0</v>
      </c>
      <c r="P27" t="s">
        <v>106</v>
      </c>
      <c r="Q27" s="2">
        <v>152</v>
      </c>
      <c r="R27" s="2">
        <f>IF(Q27-128&gt;=16,IF(BITWISE_AND(POWER(2,Q27-128-16),$B$14)&gt;0,1,0),IF(BITWISE_AND(POWER(2,Q27-128),$C$14)&gt;0,1,0))</f>
        <v>0</v>
      </c>
      <c r="S27" t="s">
        <v>8</v>
      </c>
    </row>
    <row r="28" spans="5:19" x14ac:dyDescent="0.25">
      <c r="E28" s="2">
        <v>25</v>
      </c>
      <c r="F28" s="2">
        <f>IF(E28&gt;=16,IF(BITWISE_AND(POWER(2,E28-16),$B$10)&gt;0,1,0),IF(BITWISE_AND(POWER(2,E28),$C$10)&gt;0,1,0))</f>
        <v>0</v>
      </c>
      <c r="G28" t="s">
        <v>35</v>
      </c>
      <c r="H28" s="2">
        <v>57</v>
      </c>
      <c r="I28" s="2">
        <f>IF(H28-32&gt;=16,IF(BITWISE_AND(POWER(2,H28-32-16),$B$11)&gt;0,1,0),IF(BITWISE_AND(POWER(2,H28-32),$C$11)&gt;0,1,0))</f>
        <v>0</v>
      </c>
      <c r="J28" t="s">
        <v>43</v>
      </c>
      <c r="K28" s="2">
        <v>89</v>
      </c>
      <c r="L28" s="2">
        <f>IF(K28-64&gt;=16,IF(BITWISE_AND(POWER(2,K28-64-16),$B$12)&gt;0,1,0),IF(BITWISE_AND(POWER(2,K28-64),$C$12)&gt;0,1,0))</f>
        <v>0</v>
      </c>
      <c r="M28" t="s">
        <v>89</v>
      </c>
      <c r="N28" s="2">
        <v>121</v>
      </c>
      <c r="O28" s="2">
        <f>IF(N28-96&gt;=16,IF(BITWISE_AND(POWER(2,N28-96-16),$B$13)&gt;0,1,0),IF(BITWISE_AND(POWER(2,N28-96),$C$13)&gt;0,1,0))</f>
        <v>0</v>
      </c>
      <c r="P28" t="s">
        <v>107</v>
      </c>
      <c r="Q28" s="2">
        <v>153</v>
      </c>
      <c r="R28" s="2">
        <f>IF(Q28-128&gt;=16,IF(BITWISE_AND(POWER(2,Q28-128-16),$B$14)&gt;0,1,0),IF(BITWISE_AND(POWER(2,Q28-128),$C$14)&gt;0,1,0))</f>
        <v>0</v>
      </c>
      <c r="S28" t="s">
        <v>8</v>
      </c>
    </row>
    <row r="29" spans="5:19" x14ac:dyDescent="0.25">
      <c r="E29" s="2">
        <v>26</v>
      </c>
      <c r="F29" s="2">
        <f>IF(E29&gt;=16,IF(BITWISE_AND(POWER(2,E29-16),$B$10)&gt;0,1,0),IF(BITWISE_AND(POWER(2,E29),$C$10)&gt;0,1,0))</f>
        <v>0</v>
      </c>
      <c r="G29" t="s">
        <v>36</v>
      </c>
      <c r="H29" s="2">
        <v>58</v>
      </c>
      <c r="I29" s="2">
        <f>IF(H29-32&gt;=16,IF(BITWISE_AND(POWER(2,H29-32-16),$B$11)&gt;0,1,0),IF(BITWISE_AND(POWER(2,H29-32),$C$11)&gt;0,1,0))</f>
        <v>0</v>
      </c>
      <c r="J29" t="s">
        <v>44</v>
      </c>
      <c r="K29" s="2">
        <v>90</v>
      </c>
      <c r="L29" s="2">
        <f>IF(K29-64&gt;=16,IF(BITWISE_AND(POWER(2,K29-64-16),$B$12)&gt;0,1,0),IF(BITWISE_AND(POWER(2,K29-64),$C$12)&gt;0,1,0))</f>
        <v>0</v>
      </c>
      <c r="M29" t="s">
        <v>86</v>
      </c>
      <c r="N29" s="2">
        <v>122</v>
      </c>
      <c r="O29" s="2">
        <f>IF(N29-96&gt;=16,IF(BITWISE_AND(POWER(2,N29-96-16),$B$13)&gt;0,1,0),IF(BITWISE_AND(POWER(2,N29-96),$C$13)&gt;0,1,0))</f>
        <v>0</v>
      </c>
      <c r="P29" t="s">
        <v>108</v>
      </c>
      <c r="Q29" s="2">
        <v>154</v>
      </c>
      <c r="R29" s="2">
        <f>IF(Q29-128&gt;=16,IF(BITWISE_AND(POWER(2,Q29-128-16),$B$14)&gt;0,1,0),IF(BITWISE_AND(POWER(2,Q29-128),$C$14)&gt;0,1,0))</f>
        <v>0</v>
      </c>
      <c r="S29" t="s">
        <v>8</v>
      </c>
    </row>
    <row r="30" spans="5:19" x14ac:dyDescent="0.25">
      <c r="E30" s="2">
        <v>27</v>
      </c>
      <c r="F30" s="2">
        <f>IF(E30&gt;=16,IF(BITWISE_AND(POWER(2,E30-16),$B$10)&gt;0,1,0),IF(BITWISE_AND(POWER(2,E30),$C$10)&gt;0,1,0))</f>
        <v>0</v>
      </c>
      <c r="G30" t="s">
        <v>128</v>
      </c>
      <c r="H30" s="2">
        <v>59</v>
      </c>
      <c r="I30" s="2">
        <f>IF(H30-32&gt;=16,IF(BITWISE_AND(POWER(2,H30-32-16),$B$11)&gt;0,1,0),IF(BITWISE_AND(POWER(2,H30-32),$C$11)&gt;0,1,0))</f>
        <v>0</v>
      </c>
      <c r="J30" t="s">
        <v>45</v>
      </c>
      <c r="K30" s="2">
        <v>91</v>
      </c>
      <c r="L30" s="2">
        <f>IF(K30-64&gt;=16,IF(BITWISE_AND(POWER(2,K30-64-16),$B$12)&gt;0,1,0),IF(BITWISE_AND(POWER(2,K30-64),$C$12)&gt;0,1,0))</f>
        <v>0</v>
      </c>
      <c r="M30" t="s">
        <v>87</v>
      </c>
      <c r="N30" s="2">
        <v>123</v>
      </c>
      <c r="O30" s="2">
        <f>IF(N30-96&gt;=16,IF(BITWISE_AND(POWER(2,N30-96-16),$B$13)&gt;0,1,0),IF(BITWISE_AND(POWER(2,N30-96),$C$13)&gt;0,1,0))</f>
        <v>0</v>
      </c>
      <c r="P30" t="s">
        <v>109</v>
      </c>
      <c r="Q30" s="2">
        <v>155</v>
      </c>
      <c r="R30" s="2">
        <f>IF(Q30-128&gt;=16,IF(BITWISE_AND(POWER(2,Q30-128-16),$B$14)&gt;0,1,0),IF(BITWISE_AND(POWER(2,Q30-128),$C$14)&gt;0,1,0))</f>
        <v>0</v>
      </c>
      <c r="S30" t="s">
        <v>8</v>
      </c>
    </row>
    <row r="31" spans="5:19" x14ac:dyDescent="0.25">
      <c r="E31" s="2">
        <v>28</v>
      </c>
      <c r="F31" s="2">
        <f>IF(E31&gt;=16,IF(BITWISE_AND(POWER(2,E31-16),$B$10)&gt;0,1,0),IF(BITWISE_AND(POWER(2,E31),$C$10)&gt;0,1,0))</f>
        <v>0</v>
      </c>
      <c r="G31" t="s">
        <v>129</v>
      </c>
      <c r="H31" s="2">
        <v>60</v>
      </c>
      <c r="I31" s="2">
        <f>IF(H31-32&gt;=16,IF(BITWISE_AND(POWER(2,H31-32-16),$B$11)&gt;0,1,0),IF(BITWISE_AND(POWER(2,H31-32),$C$11)&gt;0,1,0))</f>
        <v>0</v>
      </c>
      <c r="J31" t="s">
        <v>46</v>
      </c>
      <c r="K31" s="2">
        <v>92</v>
      </c>
      <c r="L31" s="2">
        <f>IF(K31-64&gt;=16,IF(BITWISE_AND(POWER(2,K31-64-16),$B$12)&gt;0,1,0),IF(BITWISE_AND(POWER(2,K31-64),$C$12)&gt;0,1,0))</f>
        <v>0</v>
      </c>
      <c r="M31" t="s">
        <v>90</v>
      </c>
      <c r="N31" s="2">
        <v>124</v>
      </c>
      <c r="O31" s="2">
        <f>IF(N31-96&gt;=16,IF(BITWISE_AND(POWER(2,N31-96-16),$B$13)&gt;0,1,0),IF(BITWISE_AND(POWER(2,N31-96),$C$13)&gt;0,1,0))</f>
        <v>0</v>
      </c>
      <c r="P31" t="s">
        <v>110</v>
      </c>
      <c r="Q31" s="2">
        <v>156</v>
      </c>
      <c r="R31" s="2">
        <f>IF(Q31-128&gt;=16,IF(BITWISE_AND(POWER(2,Q31-128-16),$B$14)&gt;0,1,0),IF(BITWISE_AND(POWER(2,Q31-128),$C$14)&gt;0,1,0))</f>
        <v>0</v>
      </c>
      <c r="S31" t="s">
        <v>8</v>
      </c>
    </row>
    <row r="32" spans="5:19" x14ac:dyDescent="0.25">
      <c r="E32" s="2">
        <v>29</v>
      </c>
      <c r="F32" s="2">
        <f>IF(E32&gt;=16,IF(BITWISE_AND(POWER(2,E32-16),$B$10)&gt;0,1,0),IF(BITWISE_AND(POWER(2,E32),$C$10)&gt;0,1,0))</f>
        <v>0</v>
      </c>
      <c r="G32" t="s">
        <v>130</v>
      </c>
      <c r="H32" s="2">
        <v>61</v>
      </c>
      <c r="I32" s="2">
        <f>IF(H32-32&gt;=16,IF(BITWISE_AND(POWER(2,H32-32-16),$B$11)&gt;0,1,0),IF(BITWISE_AND(POWER(2,H32-32),$C$11)&gt;0,1,0))</f>
        <v>0</v>
      </c>
      <c r="J32" t="s">
        <v>57</v>
      </c>
      <c r="K32" s="2">
        <v>93</v>
      </c>
      <c r="L32" s="2">
        <f>IF(K32-64&gt;=16,IF(BITWISE_AND(POWER(2,K32-64-16),$B$12)&gt;0,1,0),IF(BITWISE_AND(POWER(2,K32-64),$C$12)&gt;0,1,0))</f>
        <v>0</v>
      </c>
      <c r="M32" t="s">
        <v>91</v>
      </c>
      <c r="N32" s="2">
        <v>125</v>
      </c>
      <c r="O32" s="2">
        <f>IF(N32-96&gt;=16,IF(BITWISE_AND(POWER(2,N32-96-16),$B$13)&gt;0,1,0),IF(BITWISE_AND(POWER(2,N32-96),$C$13)&gt;0,1,0))</f>
        <v>0</v>
      </c>
      <c r="P32" t="s">
        <v>111</v>
      </c>
      <c r="Q32" s="2">
        <v>157</v>
      </c>
      <c r="R32" s="2">
        <f>IF(Q32-128&gt;=16,IF(BITWISE_AND(POWER(2,Q32-128-16),$B$14)&gt;0,1,0),IF(BITWISE_AND(POWER(2,Q32-128),$C$14)&gt;0,1,0))</f>
        <v>0</v>
      </c>
      <c r="S32" t="s">
        <v>8</v>
      </c>
    </row>
    <row r="33" spans="5:19" x14ac:dyDescent="0.25">
      <c r="E33" s="2">
        <v>30</v>
      </c>
      <c r="F33" s="2">
        <f>IF(E33&gt;=16,IF(BITWISE_AND(POWER(2,E33-16),$B$10)&gt;0,1,0),IF(BITWISE_AND(POWER(2,E33),$C$10)&gt;0,1,0))</f>
        <v>0</v>
      </c>
      <c r="G33" t="s">
        <v>131</v>
      </c>
      <c r="H33" s="2">
        <v>62</v>
      </c>
      <c r="I33" s="2">
        <f>IF(H33-32&gt;=16,IF(BITWISE_AND(POWER(2,H33-32-16),$B$11)&gt;0,1,0),IF(BITWISE_AND(POWER(2,H33-32),$C$11)&gt;0,1,0))</f>
        <v>0</v>
      </c>
      <c r="J33" t="s">
        <v>58</v>
      </c>
      <c r="K33" s="2">
        <v>94</v>
      </c>
      <c r="L33" s="2">
        <f>IF(K33-64&gt;=16,IF(BITWISE_AND(POWER(2,K33-64-16),$B$12)&gt;0,1,0),IF(BITWISE_AND(POWER(2,K33-64),$C$12)&gt;0,1,0))</f>
        <v>0</v>
      </c>
      <c r="M33" t="s">
        <v>92</v>
      </c>
      <c r="N33" s="2">
        <v>126</v>
      </c>
      <c r="O33" s="2">
        <f>IF(N33-96&gt;=16,IF(BITWISE_AND(POWER(2,N33-96-16),$B$13)&gt;0,1,0),IF(BITWISE_AND(POWER(2,N33-96),$C$13)&gt;0,1,0))</f>
        <v>0</v>
      </c>
      <c r="P33" t="s">
        <v>112</v>
      </c>
      <c r="Q33" s="2">
        <v>158</v>
      </c>
      <c r="R33" s="2">
        <f>IF(Q33-128&gt;=16,IF(BITWISE_AND(POWER(2,Q33-128-16),$B$14)&gt;0,1,0),IF(BITWISE_AND(POWER(2,Q33-128),$C$14)&gt;0,1,0))</f>
        <v>0</v>
      </c>
      <c r="S33" t="s">
        <v>8</v>
      </c>
    </row>
    <row r="34" spans="5:19" x14ac:dyDescent="0.25">
      <c r="E34" s="2">
        <v>31</v>
      </c>
      <c r="F34" s="2">
        <f>IF(E34&gt;=16,IF(BITWISE_AND(POWER(2,E34-16),$B$10)&gt;0,1,0),IF(BITWISE_AND(POWER(2,E34),$C$10)&gt;0,1,0))</f>
        <v>0</v>
      </c>
      <c r="G34" t="s">
        <v>132</v>
      </c>
      <c r="H34" s="2">
        <v>63</v>
      </c>
      <c r="I34" s="2">
        <f>IF(H34-32&gt;=16,IF(BITWISE_AND(POWER(2,H34-32-16),$B$11)&gt;0,1,0),IF(BITWISE_AND(POWER(2,H34-32),$C$11)&gt;0,1,0))</f>
        <v>0</v>
      </c>
      <c r="J34" t="s">
        <v>95</v>
      </c>
      <c r="K34" s="2">
        <v>95</v>
      </c>
      <c r="L34" s="2">
        <f>IF(K34-64&gt;=16,IF(BITWISE_AND(POWER(2,K34-64-16),$B$12)&gt;0,1,0),IF(BITWISE_AND(POWER(2,K34-64),$C$12)&gt;0,1,0))</f>
        <v>0</v>
      </c>
      <c r="M34" t="s">
        <v>93</v>
      </c>
      <c r="N34" s="2">
        <v>127</v>
      </c>
      <c r="O34" s="2">
        <f>IF(N34-96&gt;=16,IF(BITWISE_AND(POWER(2,N34-96-16),$B$13)&gt;0,1,0),IF(BITWISE_AND(POWER(2,N34-96),$C$13)&gt;0,1,0))</f>
        <v>0</v>
      </c>
      <c r="P34" t="s">
        <v>113</v>
      </c>
      <c r="Q34" s="2">
        <v>159</v>
      </c>
      <c r="R34" s="2">
        <f>IF(Q34-128&gt;=16,IF(BITWISE_AND(POWER(2,Q34-128-16),$B$14)&gt;0,1,0),IF(BITWISE_AND(POWER(2,Q34-128),$C$14)&gt;0,1,0))</f>
        <v>0</v>
      </c>
      <c r="S34" t="s">
        <v>8</v>
      </c>
    </row>
  </sheetData>
  <conditionalFormatting sqref="G4">
    <cfRule type="expression" dxfId="35" priority="609">
      <formula>F4=1</formula>
    </cfRule>
    <cfRule type="expression" dxfId="34" priority="610">
      <formula>F4=0</formula>
    </cfRule>
  </conditionalFormatting>
  <conditionalFormatting sqref="G40">
    <cfRule type="expression" dxfId="33" priority="607">
      <formula>F5=1</formula>
    </cfRule>
    <cfRule type="expression" dxfId="32" priority="608">
      <formula>F5=0</formula>
    </cfRule>
  </conditionalFormatting>
  <conditionalFormatting sqref="G41">
    <cfRule type="expression" dxfId="31" priority="605">
      <formula>F6=1</formula>
    </cfRule>
    <cfRule type="expression" dxfId="30" priority="606">
      <formula>F6=0</formula>
    </cfRule>
  </conditionalFormatting>
  <conditionalFormatting sqref="M38">
    <cfRule type="expression" dxfId="29" priority="479">
      <formula>L5=1</formula>
    </cfRule>
    <cfRule type="expression" dxfId="28" priority="480">
      <formula>L5=0</formula>
    </cfRule>
  </conditionalFormatting>
  <conditionalFormatting sqref="M39">
    <cfRule type="expression" dxfId="27" priority="477">
      <formula>L6=1</formula>
    </cfRule>
    <cfRule type="expression" dxfId="26" priority="478">
      <formula>L6=0</formula>
    </cfRule>
  </conditionalFormatting>
  <conditionalFormatting sqref="M56">
    <cfRule type="expression" dxfId="25" priority="443">
      <formula>L23=1</formula>
    </cfRule>
    <cfRule type="expression" dxfId="24" priority="444">
      <formula>L23=0</formula>
    </cfRule>
  </conditionalFormatting>
  <conditionalFormatting sqref="M67">
    <cfRule type="expression" dxfId="23" priority="421">
      <formula>L34=1</formula>
    </cfRule>
    <cfRule type="expression" dxfId="22" priority="422">
      <formula>L34=0</formula>
    </cfRule>
  </conditionalFormatting>
  <conditionalFormatting sqref="P49:Q70">
    <cfRule type="expression" dxfId="21" priority="399">
      <formula>O13=1</formula>
    </cfRule>
    <cfRule type="expression" dxfId="20" priority="400">
      <formula>O13=0</formula>
    </cfRule>
  </conditionalFormatting>
  <conditionalFormatting sqref="S35:S36">
    <cfRule type="expression" dxfId="19" priority="823">
      <formula>P11=1</formula>
    </cfRule>
    <cfRule type="expression" dxfId="18" priority="824">
      <formula>P11=0</formula>
    </cfRule>
  </conditionalFormatting>
  <conditionalFormatting sqref="S49:S70">
    <cfRule type="expression" dxfId="17" priority="827">
      <formula>P13=1</formula>
    </cfRule>
    <cfRule type="expression" dxfId="16" priority="828">
      <formula>P13=0</formula>
    </cfRule>
  </conditionalFormatting>
  <conditionalFormatting sqref="R35:R36">
    <cfRule type="expression" dxfId="15" priority="851">
      <formula>P11=1</formula>
    </cfRule>
    <cfRule type="expression" dxfId="14" priority="852">
      <formula>P11=0</formula>
    </cfRule>
  </conditionalFormatting>
  <conditionalFormatting sqref="R49:R70">
    <cfRule type="expression" dxfId="13" priority="855">
      <formula>P13=1</formula>
    </cfRule>
    <cfRule type="expression" dxfId="12" priority="856">
      <formula>P13=0</formula>
    </cfRule>
  </conditionalFormatting>
  <conditionalFormatting sqref="G3">
    <cfRule type="expression" dxfId="11" priority="15">
      <formula>F3=1</formula>
    </cfRule>
    <cfRule type="expression" dxfId="10" priority="16">
      <formula>F3=0</formula>
    </cfRule>
  </conditionalFormatting>
  <conditionalFormatting sqref="G5:G34">
    <cfRule type="expression" dxfId="9" priority="9">
      <formula>F5=1</formula>
    </cfRule>
    <cfRule type="expression" dxfId="8" priority="10">
      <formula>F5=0</formula>
    </cfRule>
  </conditionalFormatting>
  <conditionalFormatting sqref="J3:J34">
    <cfRule type="expression" dxfId="7" priority="7">
      <formula>I3=1</formula>
    </cfRule>
    <cfRule type="expression" dxfId="6" priority="8">
      <formula>I3=0</formula>
    </cfRule>
  </conditionalFormatting>
  <conditionalFormatting sqref="M3:M34">
    <cfRule type="expression" dxfId="5" priority="5">
      <formula>L3=1</formula>
    </cfRule>
    <cfRule type="expression" dxfId="4" priority="6">
      <formula>L3=0</formula>
    </cfRule>
  </conditionalFormatting>
  <conditionalFormatting sqref="P3:P34">
    <cfRule type="expression" dxfId="3" priority="3">
      <formula>O3=1</formula>
    </cfRule>
    <cfRule type="expression" dxfId="2" priority="4">
      <formula>O3=0</formula>
    </cfRule>
  </conditionalFormatting>
  <conditionalFormatting sqref="S3:S34">
    <cfRule type="expression" dxfId="1" priority="1">
      <formula>R3=1</formula>
    </cfRule>
    <cfRule type="expression" dxfId="0" priority="2">
      <formula>R3=0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B41" sqref="B4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CAL</vt:lpstr>
      <vt:lpstr>Feuil2</vt:lpstr>
      <vt:lpstr>Feuil3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Savary</dc:creator>
  <cp:lastModifiedBy>Jean Alexis Boulet</cp:lastModifiedBy>
  <dcterms:created xsi:type="dcterms:W3CDTF">2015-07-15T18:59:20Z</dcterms:created>
  <dcterms:modified xsi:type="dcterms:W3CDTF">2015-12-16T20:28:19Z</dcterms:modified>
</cp:coreProperties>
</file>